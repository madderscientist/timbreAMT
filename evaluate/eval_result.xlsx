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shar\Desktop\"/>
    </mc:Choice>
  </mc:AlternateContent>
  <xr:revisionPtr revIDLastSave="0" documentId="13_ncr:1_{9986D6A2-8206-4945-99B0-4966D03BAF1E}" xr6:coauthVersionLast="47" xr6:coauthVersionMax="47" xr10:uidLastSave="{00000000-0000-0000-0000-000000000000}"/>
  <bookViews>
    <workbookView xWindow="-93" yWindow="-93" windowWidth="20666" windowHeight="12266" activeTab="1" xr2:uid="{00000000-000D-0000-FFFF-FFFF00000000}"/>
  </bookViews>
  <sheets>
    <sheet name="AMTresult" sheetId="2" r:id="rId1"/>
    <sheet name="Timber Separ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 l="1"/>
  <c r="E45" i="3"/>
  <c r="F45" i="3"/>
  <c r="G45" i="3"/>
  <c r="H45" i="3"/>
  <c r="I45" i="3"/>
  <c r="J45" i="3"/>
  <c r="C45" i="3"/>
  <c r="T45" i="3"/>
  <c r="W45" i="3"/>
  <c r="Z45" i="3"/>
  <c r="AG45" i="3"/>
  <c r="AJ45" i="3"/>
  <c r="AI45" i="3"/>
  <c r="AH45" i="3"/>
  <c r="AF45" i="3"/>
  <c r="AE45" i="3"/>
  <c r="Y45" i="3"/>
  <c r="X45" i="3"/>
  <c r="V45" i="3"/>
  <c r="U45" i="3"/>
  <c r="S45" i="3"/>
  <c r="R45" i="3"/>
  <c r="AJ44" i="3"/>
  <c r="AG44" i="3"/>
  <c r="AH44" i="3"/>
  <c r="AE44" i="3"/>
  <c r="Z44" i="3"/>
  <c r="W44" i="3"/>
  <c r="X44" i="3"/>
  <c r="T44" i="3"/>
  <c r="U44" i="3"/>
  <c r="R44" i="3"/>
  <c r="AI44" i="3"/>
  <c r="AF44" i="3"/>
  <c r="Y44" i="3"/>
  <c r="V44" i="3"/>
  <c r="S44" i="3"/>
  <c r="AH43" i="3"/>
  <c r="AE43" i="3"/>
  <c r="X43" i="3"/>
  <c r="Z43" i="3" s="1"/>
  <c r="U43" i="3"/>
  <c r="W43" i="3" s="1"/>
  <c r="R43" i="3"/>
  <c r="T43" i="3" s="1"/>
  <c r="AI43" i="3"/>
  <c r="AJ43" i="3" s="1"/>
  <c r="AF43" i="3"/>
  <c r="AG43" i="3" s="1"/>
  <c r="Y43" i="3"/>
  <c r="V43" i="3"/>
  <c r="S43" i="3"/>
  <c r="AH42" i="3"/>
  <c r="AE42" i="3"/>
  <c r="X42" i="3"/>
  <c r="U42" i="3"/>
  <c r="R42" i="3"/>
  <c r="AI42" i="3"/>
  <c r="AJ42" i="3" s="1"/>
  <c r="AF42" i="3"/>
  <c r="AG42" i="3" s="1"/>
  <c r="Y42" i="3"/>
  <c r="Z42" i="3" s="1"/>
  <c r="V42" i="3"/>
  <c r="W42" i="3" s="1"/>
  <c r="S42" i="3"/>
  <c r="AH41" i="3"/>
  <c r="AI41" i="3"/>
  <c r="AJ41" i="3" s="1"/>
  <c r="AF41" i="3"/>
  <c r="AG41" i="3" s="1"/>
  <c r="AE41" i="3"/>
  <c r="X41" i="3"/>
  <c r="U41" i="3"/>
  <c r="Y41" i="3"/>
  <c r="Z41" i="3" s="1"/>
  <c r="V41" i="3"/>
  <c r="W41" i="3" s="1"/>
  <c r="S41" i="3"/>
  <c r="R41" i="3"/>
  <c r="T41" i="3" s="1"/>
  <c r="AI40" i="3"/>
  <c r="AI39" i="3"/>
  <c r="AJ39" i="3" s="1"/>
  <c r="AH40" i="3"/>
  <c r="AH39" i="3"/>
  <c r="AF40" i="3"/>
  <c r="AG40" i="3" s="1"/>
  <c r="AF39" i="3"/>
  <c r="AG39" i="3" s="1"/>
  <c r="AE40" i="3"/>
  <c r="AE39" i="3"/>
  <c r="Y40" i="3"/>
  <c r="Y39" i="3"/>
  <c r="X40" i="3"/>
  <c r="X39" i="3"/>
  <c r="V40" i="3"/>
  <c r="V39" i="3"/>
  <c r="U40" i="3"/>
  <c r="U39" i="3"/>
  <c r="S40" i="3"/>
  <c r="R40" i="3"/>
  <c r="R39" i="3"/>
  <c r="S39" i="3"/>
  <c r="BT30" i="3"/>
  <c r="BU30" i="3"/>
  <c r="BV30" i="3"/>
  <c r="BW30" i="3"/>
  <c r="BX30" i="3"/>
  <c r="BT26" i="3"/>
  <c r="BU26" i="3"/>
  <c r="BV26" i="3"/>
  <c r="BW26" i="3"/>
  <c r="BX26" i="3"/>
  <c r="BT27" i="3"/>
  <c r="BU27" i="3"/>
  <c r="BV27" i="3"/>
  <c r="BW27" i="3"/>
  <c r="BX27" i="3"/>
  <c r="BT28" i="3"/>
  <c r="BU28" i="3"/>
  <c r="BV28" i="3"/>
  <c r="BW28" i="3"/>
  <c r="BX28" i="3"/>
  <c r="BT29" i="3"/>
  <c r="BU29" i="3"/>
  <c r="BV29" i="3"/>
  <c r="BW29" i="3"/>
  <c r="BX29" i="3"/>
  <c r="BX25" i="3"/>
  <c r="BT25" i="3"/>
  <c r="BT19" i="3"/>
  <c r="BU19" i="3"/>
  <c r="BV19" i="3"/>
  <c r="BW19" i="3"/>
  <c r="BX19" i="3"/>
  <c r="BT20" i="3"/>
  <c r="BU20" i="3"/>
  <c r="BV20" i="3"/>
  <c r="BW20" i="3"/>
  <c r="BX20" i="3"/>
  <c r="BT21" i="3"/>
  <c r="BU21" i="3"/>
  <c r="BV21" i="3"/>
  <c r="BW21" i="3"/>
  <c r="BX21" i="3"/>
  <c r="BT22" i="3"/>
  <c r="BU22" i="3"/>
  <c r="BV22" i="3"/>
  <c r="BW22" i="3"/>
  <c r="BX22" i="3"/>
  <c r="BT23" i="3"/>
  <c r="BU23" i="3"/>
  <c r="BV23" i="3"/>
  <c r="BW23" i="3"/>
  <c r="BX23" i="3"/>
  <c r="BT24" i="3"/>
  <c r="BU24" i="3"/>
  <c r="BV24" i="3"/>
  <c r="BW24" i="3"/>
  <c r="BX24" i="3"/>
  <c r="BT17" i="3"/>
  <c r="BU17" i="3"/>
  <c r="BV17" i="3"/>
  <c r="BW17" i="3"/>
  <c r="BX17" i="3"/>
  <c r="BT5" i="3"/>
  <c r="BU5" i="3"/>
  <c r="BV5" i="3"/>
  <c r="BW5" i="3"/>
  <c r="BX5" i="3"/>
  <c r="BT6" i="3"/>
  <c r="BU6" i="3"/>
  <c r="BV6" i="3"/>
  <c r="BW6" i="3"/>
  <c r="BX6" i="3"/>
  <c r="BT10" i="3"/>
  <c r="BU10" i="3"/>
  <c r="BV10" i="3"/>
  <c r="BW10" i="3"/>
  <c r="BX10" i="3"/>
  <c r="BT9" i="3"/>
  <c r="BU9" i="3"/>
  <c r="BV9" i="3"/>
  <c r="BW9" i="3"/>
  <c r="BX9" i="3"/>
  <c r="BT11" i="3"/>
  <c r="BU11" i="3"/>
  <c r="BV11" i="3"/>
  <c r="BW11" i="3"/>
  <c r="BX11" i="3"/>
  <c r="BT13" i="3"/>
  <c r="BU13" i="3"/>
  <c r="BV13" i="3"/>
  <c r="BW13" i="3"/>
  <c r="BX13" i="3"/>
  <c r="BT14" i="3"/>
  <c r="BU14" i="3"/>
  <c r="BV14" i="3"/>
  <c r="BW14" i="3"/>
  <c r="BX14" i="3"/>
  <c r="BT16" i="3"/>
  <c r="BU16" i="3"/>
  <c r="BV16" i="3"/>
  <c r="BW16" i="3"/>
  <c r="BX16" i="3"/>
  <c r="BT18" i="3"/>
  <c r="BU18" i="3"/>
  <c r="BV18" i="3"/>
  <c r="BW18" i="3"/>
  <c r="BX18" i="3"/>
  <c r="BU25" i="3"/>
  <c r="BV25" i="3"/>
  <c r="BW25" i="3"/>
  <c r="BX8" i="3"/>
  <c r="BX12" i="3"/>
  <c r="BT31" i="3"/>
  <c r="BU31" i="3"/>
  <c r="BV31" i="3"/>
  <c r="BW31" i="3"/>
  <c r="BX31" i="3"/>
  <c r="BX15" i="3"/>
  <c r="BT12" i="3"/>
  <c r="BU12" i="3"/>
  <c r="BV12" i="3"/>
  <c r="BW12" i="3"/>
  <c r="BT8" i="3"/>
  <c r="BU8" i="3"/>
  <c r="BV8" i="3"/>
  <c r="BW8" i="3"/>
  <c r="BV15" i="3"/>
  <c r="BV7" i="3"/>
  <c r="BW7" i="3"/>
  <c r="BT7" i="3"/>
  <c r="BU7" i="3"/>
  <c r="BX7" i="3"/>
  <c r="BW15" i="3"/>
  <c r="BU15" i="3"/>
  <c r="BT15" i="3"/>
  <c r="C87" i="2"/>
  <c r="K80" i="2"/>
  <c r="J80" i="2"/>
  <c r="I80" i="2"/>
  <c r="H80" i="2"/>
  <c r="G80" i="2"/>
  <c r="F80" i="2"/>
  <c r="E80" i="2"/>
  <c r="D80" i="2"/>
  <c r="C80" i="2"/>
  <c r="B80" i="2"/>
  <c r="K82" i="2"/>
  <c r="K83" i="2"/>
  <c r="J83" i="2"/>
  <c r="I83" i="2"/>
  <c r="H83" i="2"/>
  <c r="G83" i="2"/>
  <c r="F83" i="2"/>
  <c r="E83" i="2"/>
  <c r="D83" i="2"/>
  <c r="B81" i="2"/>
  <c r="C83" i="2"/>
  <c r="B83" i="2"/>
  <c r="B84" i="2"/>
  <c r="B93" i="2"/>
  <c r="I88" i="2"/>
  <c r="K93" i="2"/>
  <c r="J93" i="2"/>
  <c r="I93" i="2"/>
  <c r="H93" i="2"/>
  <c r="G93" i="2"/>
  <c r="F93" i="2"/>
  <c r="E93" i="2"/>
  <c r="D93" i="2"/>
  <c r="K92" i="2"/>
  <c r="J92" i="2"/>
  <c r="I92" i="2"/>
  <c r="H92" i="2"/>
  <c r="G92" i="2"/>
  <c r="F92" i="2"/>
  <c r="E92" i="2"/>
  <c r="D92" i="2"/>
  <c r="K91" i="2"/>
  <c r="J91" i="2"/>
  <c r="I91" i="2"/>
  <c r="H91" i="2"/>
  <c r="G91" i="2"/>
  <c r="F91" i="2"/>
  <c r="E91" i="2"/>
  <c r="D91" i="2"/>
  <c r="K90" i="2"/>
  <c r="J90" i="2"/>
  <c r="I90" i="2"/>
  <c r="H90" i="2"/>
  <c r="G90" i="2"/>
  <c r="F90" i="2"/>
  <c r="E90" i="2"/>
  <c r="D90" i="2"/>
  <c r="K89" i="2"/>
  <c r="J89" i="2"/>
  <c r="I89" i="2"/>
  <c r="H89" i="2"/>
  <c r="G89" i="2"/>
  <c r="F89" i="2"/>
  <c r="E89" i="2"/>
  <c r="D89" i="2"/>
  <c r="K88" i="2"/>
  <c r="J88" i="2"/>
  <c r="H88" i="2"/>
  <c r="G88" i="2"/>
  <c r="F88" i="2"/>
  <c r="E88" i="2"/>
  <c r="D88" i="2"/>
  <c r="K87" i="2"/>
  <c r="J87" i="2"/>
  <c r="I87" i="2"/>
  <c r="H87" i="2"/>
  <c r="G87" i="2"/>
  <c r="F87" i="2"/>
  <c r="E87" i="2"/>
  <c r="D87" i="2"/>
  <c r="K86" i="2"/>
  <c r="J86" i="2"/>
  <c r="I86" i="2"/>
  <c r="H86" i="2"/>
  <c r="G86" i="2"/>
  <c r="F86" i="2"/>
  <c r="E86" i="2"/>
  <c r="D86" i="2"/>
  <c r="K85" i="2"/>
  <c r="J85" i="2"/>
  <c r="I85" i="2"/>
  <c r="H85" i="2"/>
  <c r="G85" i="2"/>
  <c r="F85" i="2"/>
  <c r="E85" i="2"/>
  <c r="D85" i="2"/>
  <c r="K84" i="2"/>
  <c r="J84" i="2"/>
  <c r="I84" i="2"/>
  <c r="H84" i="2"/>
  <c r="G84" i="2"/>
  <c r="F84" i="2"/>
  <c r="E84" i="2"/>
  <c r="D84" i="2"/>
  <c r="J82" i="2"/>
  <c r="I82" i="2"/>
  <c r="H82" i="2"/>
  <c r="G82" i="2"/>
  <c r="F82" i="2"/>
  <c r="E82" i="2"/>
  <c r="D82" i="2"/>
  <c r="C93" i="2"/>
  <c r="C92" i="2"/>
  <c r="C91" i="2"/>
  <c r="C90" i="2"/>
  <c r="C89" i="2"/>
  <c r="C88" i="2"/>
  <c r="C86" i="2"/>
  <c r="C85" i="2"/>
  <c r="C84" i="2"/>
  <c r="B92" i="2"/>
  <c r="B91" i="2"/>
  <c r="B90" i="2"/>
  <c r="B89" i="2"/>
  <c r="B88" i="2"/>
  <c r="B87" i="2"/>
  <c r="B86" i="2"/>
  <c r="B85" i="2"/>
  <c r="C82" i="2"/>
  <c r="B82" i="2"/>
  <c r="K81" i="2"/>
  <c r="J81" i="2"/>
  <c r="I81" i="2"/>
  <c r="H81" i="2"/>
  <c r="G81" i="2"/>
  <c r="F81" i="2"/>
  <c r="E81" i="2"/>
  <c r="D81" i="2"/>
  <c r="C81" i="2"/>
  <c r="AJ40" i="3" l="1"/>
  <c r="W39" i="3"/>
  <c r="W40" i="3"/>
  <c r="Z39" i="3"/>
  <c r="Z40" i="3"/>
  <c r="T40" i="3"/>
  <c r="T42" i="3"/>
  <c r="T39" i="3"/>
</calcChain>
</file>

<file path=xl/sharedStrings.xml><?xml version="1.0" encoding="utf-8"?>
<sst xmlns="http://schemas.openxmlformats.org/spreadsheetml/2006/main" count="355" uniqueCount="147">
  <si>
    <t>focal loss</t>
    <phoneticPr fontId="1" type="noConversion"/>
  </si>
  <si>
    <t>F1</t>
    <phoneticPr fontId="1" type="noConversion"/>
  </si>
  <si>
    <t>Acc</t>
    <phoneticPr fontId="1" type="noConversion"/>
  </si>
  <si>
    <t>P</t>
    <phoneticPr fontId="1" type="noConversion"/>
  </si>
  <si>
    <t>R</t>
    <phoneticPr fontId="1" type="noConversion"/>
  </si>
  <si>
    <t>F</t>
    <phoneticPr fontId="1" type="noConversion"/>
  </si>
  <si>
    <t>overlap</t>
    <phoneticPr fontId="1" type="noConversion"/>
  </si>
  <si>
    <t>FLOPS</t>
    <phoneticPr fontId="1" type="noConversion"/>
  </si>
  <si>
    <t>RTFX</t>
    <phoneticPr fontId="1" type="noConversion"/>
  </si>
  <si>
    <t>PeakMemory
1s</t>
    <phoneticPr fontId="1" type="noConversion"/>
  </si>
  <si>
    <t>Time
1s</t>
    <phoneticPr fontId="1" type="noConversion"/>
  </si>
  <si>
    <t>PeakMemory
8min</t>
    <phoneticPr fontId="1" type="noConversion"/>
  </si>
  <si>
    <t>Time
8min</t>
    <phoneticPr fontId="1" type="noConversion"/>
  </si>
  <si>
    <t>帧阈值</t>
    <phoneticPr fontId="1" type="noConversion"/>
  </si>
  <si>
    <t>音头阈值</t>
    <phoneticPr fontId="1" type="noConversion"/>
  </si>
  <si>
    <t>gamma=0</t>
    <phoneticPr fontId="1" type="noConversion"/>
  </si>
  <si>
    <t>gamma=2</t>
    <phoneticPr fontId="1" type="noConversion"/>
  </si>
  <si>
    <t>虚影较多</t>
    <phoneticPr fontId="1" type="noConversion"/>
  </si>
  <si>
    <t>gamma=1
虚影较少</t>
    <phoneticPr fontId="1" type="noConversion"/>
  </si>
  <si>
    <t>自建数据集</t>
    <phoneticPr fontId="1" type="noConversion"/>
  </si>
  <si>
    <t>能量归一
log+仿射</t>
    <phoneticPr fontId="1" type="noConversion"/>
  </si>
  <si>
    <t>BP卷积
(39不空洞)</t>
    <phoneticPr fontId="1" type="noConversion"/>
  </si>
  <si>
    <t>空洞卷积
(25空洞)</t>
    <phoneticPr fontId="1" type="noConversion"/>
  </si>
  <si>
    <t>focal loss
gamma=1</t>
    <phoneticPr fontId="1" type="noConversion"/>
  </si>
  <si>
    <t>能量归一
无log</t>
    <phoneticPr fontId="1" type="noConversion"/>
  </si>
  <si>
    <t>log+BN
BP的方案</t>
    <phoneticPr fontId="1" type="noConversion"/>
  </si>
  <si>
    <t>BACH10 Ensemble</t>
    <phoneticPr fontId="1" type="noConversion"/>
  </si>
  <si>
    <t>BACH10 Solo</t>
    <phoneticPr fontId="1" type="noConversion"/>
  </si>
  <si>
    <t>PHENICX Ensemble</t>
    <phoneticPr fontId="1" type="noConversion"/>
  </si>
  <si>
    <t>URMP Ensemble</t>
    <phoneticPr fontId="1" type="noConversion"/>
  </si>
  <si>
    <t>URMP Solo</t>
    <phoneticPr fontId="1" type="noConversion"/>
  </si>
  <si>
    <t>frame level</t>
    <phoneticPr fontId="1" type="noConversion"/>
  </si>
  <si>
    <t>note level</t>
    <phoneticPr fontId="1" type="noConversion"/>
  </si>
  <si>
    <t>Metrics</t>
    <phoneticPr fontId="1" type="noConversion"/>
  </si>
  <si>
    <t>Level</t>
    <phoneticPr fontId="1" type="noConversion"/>
  </si>
  <si>
    <t>Dataset</t>
    <phoneticPr fontId="1" type="noConversion"/>
  </si>
  <si>
    <t>虚影多
所以合奏效果好</t>
    <phoneticPr fontId="1" type="noConversion"/>
  </si>
  <si>
    <t>不是可学习CQT不好、也不是BN不好，只是不具有泛化性</t>
    <phoneticPr fontId="1" type="noConversion"/>
  </si>
  <si>
    <t>BP的loss</t>
    <phoneticPr fontId="1" type="noConversion"/>
  </si>
  <si>
    <t>MusicNet</t>
    <phoneticPr fontId="1" type="noConversion"/>
  </si>
  <si>
    <t>但是在验证集上不收敛</t>
    <phoneticPr fontId="1" type="noConversion"/>
  </si>
  <si>
    <t>onset简直依托</t>
    <phoneticPr fontId="1" type="noConversion"/>
  </si>
  <si>
    <t>comments</t>
    <phoneticPr fontId="1" type="noConversion"/>
  </si>
  <si>
    <t>T-F transform</t>
    <phoneticPr fontId="1" type="noConversion"/>
  </si>
  <si>
    <t>conv</t>
    <phoneticPr fontId="1" type="noConversion"/>
  </si>
  <si>
    <t>loss</t>
    <phoneticPr fontId="1" type="noConversion"/>
  </si>
  <si>
    <t>dataset</t>
    <phoneticPr fontId="1" type="noConversion"/>
  </si>
  <si>
    <t>norm</t>
    <phoneticPr fontId="1" type="noConversion"/>
  </si>
  <si>
    <t>用eps=1e-8和1e-9训的</t>
    <phoneticPr fontId="1" type="noConversion"/>
  </si>
  <si>
    <t>看看是否影响拟合
帧级好了，但音符级差了</t>
    <phoneticPr fontId="1" type="noConversion"/>
  </si>
  <si>
    <t>不适用于当前的音符创建方法</t>
    <phoneticPr fontId="1" type="noConversion"/>
  </si>
  <si>
    <t>没用，甚至变差</t>
    <phoneticPr fontId="1" type="noConversion"/>
  </si>
  <si>
    <t>BCE
原论文</t>
    <phoneticPr fontId="1" type="noConversion"/>
  </si>
  <si>
    <t>可学习
参数量</t>
    <phoneticPr fontId="1" type="noConversion"/>
  </si>
  <si>
    <t>BasicPitch</t>
    <phoneticPr fontId="1" type="noConversion"/>
  </si>
  <si>
    <t>ours model</t>
  </si>
  <si>
    <t>ours model</t>
    <phoneticPr fontId="1" type="noConversion"/>
  </si>
  <si>
    <t>onsets&amp;frames</t>
  </si>
  <si>
    <t>onsets&amp;frames</t>
    <phoneticPr fontId="1" type="noConversion"/>
  </si>
  <si>
    <t>偶然得到的效果非常好的模型</t>
    <phoneticPr fontId="1" type="noConversion"/>
  </si>
  <si>
    <t>虚影少</t>
    <phoneticPr fontId="1" type="noConversion"/>
  </si>
  <si>
    <t>of对URMP的效果也不好，说明不具有泛化性</t>
    <phoneticPr fontId="1" type="noConversion"/>
  </si>
  <si>
    <t>gamma还是大点好</t>
    <phoneticPr fontId="1" type="noConversion"/>
  </si>
  <si>
    <t>虽然看起来更好但是虚影多，还要重新调超参数</t>
    <phoneticPr fontId="1" type="noConversion"/>
  </si>
  <si>
    <t>在我的数据集上训练的，URMP效果都不太行。猜测是数据分布的问题，网络大而过拟合</t>
    <phoneticPr fontId="1" type="noConversion"/>
  </si>
  <si>
    <t>fixed CQT</t>
    <phoneticPr fontId="1" type="noConversion"/>
  </si>
  <si>
    <t>learnable CQT</t>
    <phoneticPr fontId="1" type="noConversion"/>
  </si>
  <si>
    <t>Mel</t>
    <phoneticPr fontId="1" type="noConversion"/>
  </si>
  <si>
    <t>ours</t>
    <phoneticPr fontId="1" type="noConversion"/>
  </si>
  <si>
    <t>log+BN</t>
    <phoneticPr fontId="1" type="noConversion"/>
  </si>
  <si>
    <t>learnCQT</t>
    <phoneticPr fontId="1" type="noConversion"/>
  </si>
  <si>
    <t>noDilation</t>
    <phoneticPr fontId="1" type="noConversion"/>
  </si>
  <si>
    <t>BP loss</t>
    <phoneticPr fontId="1" type="noConversion"/>
  </si>
  <si>
    <t>musicnet</t>
    <phoneticPr fontId="1" type="noConversion"/>
  </si>
  <si>
    <t>F_f</t>
    <phoneticPr fontId="1" type="noConversion"/>
  </si>
  <si>
    <t>F_n</t>
    <phoneticPr fontId="1" type="noConversion"/>
  </si>
  <si>
    <t>Bach10_ensemble</t>
    <phoneticPr fontId="1" type="noConversion"/>
  </si>
  <si>
    <t>Bach10_solo</t>
    <phoneticPr fontId="1" type="noConversion"/>
  </si>
  <si>
    <t>PHENICX_ensemble</t>
    <phoneticPr fontId="1" type="noConversion"/>
  </si>
  <si>
    <t>URMP_ensemble</t>
    <phoneticPr fontId="1" type="noConversion"/>
  </si>
  <si>
    <t>URMP_solo</t>
    <phoneticPr fontId="1" type="noConversion"/>
  </si>
  <si>
    <t>no log</t>
    <phoneticPr fontId="1" type="noConversion"/>
  </si>
  <si>
    <t>musicnet+learnCQT</t>
    <phoneticPr fontId="1" type="noConversion"/>
  </si>
  <si>
    <t>origin of</t>
    <phoneticPr fontId="1" type="noConversion"/>
  </si>
  <si>
    <t>focal of</t>
    <phoneticPr fontId="1" type="noConversion"/>
  </si>
  <si>
    <t>origin bp</t>
    <phoneticPr fontId="1" type="noConversion"/>
  </si>
  <si>
    <t>focal bp</t>
    <phoneticPr fontId="1" type="noConversion"/>
  </si>
  <si>
    <t>focal bp musicnet</t>
    <phoneticPr fontId="1" type="noConversion"/>
  </si>
  <si>
    <t>汇总</t>
    <phoneticPr fontId="1" type="noConversion"/>
  </si>
  <si>
    <t>URMP效果不行，泛化性不行</t>
    <phoneticPr fontId="1" type="noConversion"/>
  </si>
  <si>
    <t>LayerNorm</t>
    <phoneticPr fontId="1" type="noConversion"/>
  </si>
  <si>
    <t>layernorm</t>
    <phoneticPr fontId="1" type="noConversion"/>
  </si>
  <si>
    <t>energy norm可以减少运算量，效果还更好</t>
    <phoneticPr fontId="1" type="noConversion"/>
  </si>
  <si>
    <t>'0.67010</t>
  </si>
  <si>
    <t>0.82358'</t>
  </si>
  <si>
    <t>Overlap</t>
    <phoneticPr fontId="1" type="noConversion"/>
  </si>
  <si>
    <t>BACH10 2mix</t>
    <phoneticPr fontId="1" type="noConversion"/>
  </si>
  <si>
    <t>BACH10 3mix</t>
    <phoneticPr fontId="1" type="noConversion"/>
  </si>
  <si>
    <t>URMP 2mix</t>
    <phoneticPr fontId="1" type="noConversion"/>
  </si>
  <si>
    <t>URMP 3mix</t>
    <phoneticPr fontId="1" type="noConversion"/>
  </si>
  <si>
    <t>feature</t>
    <phoneticPr fontId="1" type="noConversion"/>
  </si>
  <si>
    <t>fix note_branch:</t>
    <phoneticPr fontId="1" type="noConversion"/>
  </si>
  <si>
    <t>过拟合严重</t>
    <phoneticPr fontId="1" type="noConversion"/>
  </si>
  <si>
    <t>BACH10 4mix</t>
    <phoneticPr fontId="1" type="noConversion"/>
  </si>
  <si>
    <t>BACH10 2</t>
    <phoneticPr fontId="1" type="noConversion"/>
  </si>
  <si>
    <t>BACH10 3</t>
    <phoneticPr fontId="1" type="noConversion"/>
  </si>
  <si>
    <t>BACH10 4</t>
    <phoneticPr fontId="1" type="noConversion"/>
  </si>
  <si>
    <t>URMP 2</t>
    <phoneticPr fontId="1" type="noConversion"/>
  </si>
  <si>
    <t>URMP 3</t>
    <phoneticPr fontId="1" type="noConversion"/>
  </si>
  <si>
    <t>orthogonal loss</t>
    <phoneticPr fontId="1" type="noConversion"/>
  </si>
  <si>
    <t>四分离乏力</t>
    <phoneticPr fontId="1" type="noConversion"/>
  </si>
  <si>
    <t>no rescale
（final model）</t>
    <phoneticPr fontId="1" type="noConversion"/>
  </si>
  <si>
    <t>Perform amplitude scaling using the transcription results of musical notes</t>
    <phoneticPr fontId="1" type="noConversion"/>
  </si>
  <si>
    <t>slot_former
带残差的Attention</t>
    <phoneticPr fontId="1" type="noConversion"/>
  </si>
  <si>
    <t>encode dim = 16</t>
    <phoneticPr fontId="1" type="noConversion"/>
  </si>
  <si>
    <t>layernorm
instead of centernorm</t>
    <phoneticPr fontId="1" type="noConversion"/>
  </si>
  <si>
    <t>tanaka
with D=12, H=256</t>
    <phoneticPr fontId="1" type="noConversion"/>
  </si>
  <si>
    <t>onmydata
2MIX</t>
    <phoneticPr fontId="1" type="noConversion"/>
  </si>
  <si>
    <t>for the final model:</t>
    <phoneticPr fontId="1" type="noConversion"/>
  </si>
  <si>
    <t>fs</t>
    <phoneticPr fontId="1" type="noConversion"/>
  </si>
  <si>
    <t>sec</t>
    <phoneticPr fontId="1" type="noConversion"/>
  </si>
  <si>
    <t>inference sec</t>
    <phoneticPr fontId="1" type="noConversion"/>
  </si>
  <si>
    <t>post-process sec</t>
    <phoneticPr fontId="1" type="noConversion"/>
  </si>
  <si>
    <t>real-time factor</t>
    <phoneticPr fontId="1" type="noConversion"/>
  </si>
  <si>
    <t>MIX</t>
    <phoneticPr fontId="1" type="noConversion"/>
  </si>
  <si>
    <t>peak_memory</t>
    <phoneticPr fontId="1" type="noConversion"/>
  </si>
  <si>
    <t>run on Intel Xeon® E5-2666V3 @ 2.90GHz</t>
    <phoneticPr fontId="1" type="noConversion"/>
  </si>
  <si>
    <t>memory increase (MB)</t>
    <phoneticPr fontId="1" type="noConversion"/>
  </si>
  <si>
    <t>并没有带来显著的提升</t>
    <phoneticPr fontId="1" type="noConversion"/>
  </si>
  <si>
    <t>final version</t>
    <phoneticPr fontId="1" type="noConversion"/>
  </si>
  <si>
    <t>share the first Residual Block</t>
    <phoneticPr fontId="1" type="noConversion"/>
  </si>
  <si>
    <t>final</t>
    <phoneticPr fontId="1" type="noConversion"/>
  </si>
  <si>
    <t>F_N</t>
    <phoneticPr fontId="1" type="noConversion"/>
  </si>
  <si>
    <t>F_S</t>
    <phoneticPr fontId="1" type="noConversion"/>
  </si>
  <si>
    <t>2mix</t>
    <phoneticPr fontId="1" type="noConversion"/>
  </si>
  <si>
    <t>3mix</t>
    <phoneticPr fontId="1" type="noConversion"/>
  </si>
  <si>
    <t>4mix</t>
    <phoneticPr fontId="1" type="noConversion"/>
  </si>
  <si>
    <t>ratio</t>
    <phoneticPr fontId="1" type="noConversion"/>
  </si>
  <si>
    <t>rescale</t>
    <phoneticPr fontId="1" type="noConversion"/>
  </si>
  <si>
    <t>BACH10</t>
    <phoneticPr fontId="1" type="noConversion"/>
  </si>
  <si>
    <t>URMP</t>
    <phoneticPr fontId="1" type="noConversion"/>
  </si>
  <si>
    <t>dim16</t>
    <phoneticPr fontId="1" type="noConversion"/>
  </si>
  <si>
    <t>orthogonal loss</t>
  </si>
  <si>
    <t>tanaka</t>
    <phoneticPr fontId="1" type="noConversion"/>
  </si>
  <si>
    <t>mydata</t>
    <phoneticPr fontId="1" type="noConversion"/>
  </si>
  <si>
    <t>share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</si>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</sst>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1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5603-0E8C-4C67-9D85-176880AC8F4C}">
  <sheetPr codeName="Sheet1"/>
  <dimension ref="A1:BL93"/>
  <sheetViews>
    <sheetView topLeftCell="A53" zoomScale="85" zoomScaleNormal="85" workbookViewId="0">
      <selection activeCell="B78" sqref="B78:C79"/>
    </sheetView>
  </sheetViews>
  <sheetFormatPr defaultRowHeight="14" x14ac:dyDescent="0.45"/>
  <cols>
    <col min="1" max="1" width="12.5859375" style="1" customWidth="1"/>
    <col min="2" max="2" width="12.703125" style="1" customWidth="1"/>
    <col min="3" max="3" width="11.234375" style="1" customWidth="1"/>
    <col min="4" max="4" width="10.64453125" style="1" customWidth="1"/>
    <col min="5" max="5" width="11.64453125" style="1" customWidth="1"/>
    <col min="6" max="6" width="9.8203125" style="1" customWidth="1"/>
    <col min="7" max="7" width="11.05859375" style="1" bestFit="1" customWidth="1"/>
    <col min="8" max="8" width="8.9375" style="2"/>
    <col min="9" max="11" width="8.9375" style="1"/>
    <col min="12" max="12" width="8.9375" style="4"/>
    <col min="13" max="13" width="8.9375" style="5"/>
    <col min="14" max="15" width="8.9375" style="1"/>
    <col min="16" max="16" width="8.9375" style="4"/>
    <col min="17" max="17" width="8.9375" style="3"/>
    <col min="18" max="21" width="8.9375" style="1"/>
    <col min="22" max="22" width="8.9375" style="4"/>
    <col min="23" max="23" width="8.9375" style="6"/>
    <col min="24" max="25" width="8.9375" style="1"/>
    <col min="26" max="26" width="8.9375" style="4"/>
    <col min="27" max="27" width="8.9375" style="1"/>
    <col min="28" max="28" width="8.9375" style="2"/>
    <col min="29" max="31" width="8.9375" style="1"/>
    <col min="32" max="32" width="8.9375" style="4"/>
    <col min="33" max="33" width="8.9375" style="6"/>
    <col min="34" max="35" width="8.9375" style="1"/>
    <col min="36" max="36" width="8.9375" style="4"/>
    <col min="37" max="37" width="8.9375" style="3"/>
    <col min="38" max="41" width="8.9375" style="1"/>
    <col min="42" max="42" width="8.9375" style="4"/>
    <col min="43" max="43" width="8.9375" style="5"/>
    <col min="44" max="45" width="8.9375" style="1"/>
    <col min="46" max="46" width="8.9375" style="4"/>
    <col min="47" max="47" width="8.9375" style="1"/>
    <col min="48" max="48" width="8.9375" style="2"/>
    <col min="49" max="51" width="8.9375" style="1"/>
    <col min="52" max="52" width="8.9375" style="4"/>
    <col min="53" max="53" width="8.9375" style="5"/>
    <col min="54" max="55" width="8.9375" style="1"/>
    <col min="56" max="56" width="8.9375" style="4"/>
    <col min="57" max="57" width="8.9375" style="3"/>
    <col min="58" max="16384" width="8.9375" style="1"/>
  </cols>
  <sheetData>
    <row r="1" spans="1:64" x14ac:dyDescent="0.45">
      <c r="G1" s="1" t="s">
        <v>35</v>
      </c>
      <c r="H1" s="56" t="s">
        <v>26</v>
      </c>
      <c r="I1" s="44"/>
      <c r="J1" s="44"/>
      <c r="K1" s="44"/>
      <c r="L1" s="44"/>
      <c r="M1" s="44"/>
      <c r="N1" s="44"/>
      <c r="O1" s="44"/>
      <c r="P1" s="44"/>
      <c r="Q1" s="57"/>
      <c r="R1" s="56" t="s">
        <v>27</v>
      </c>
      <c r="S1" s="44"/>
      <c r="T1" s="44"/>
      <c r="U1" s="44"/>
      <c r="V1" s="44"/>
      <c r="W1" s="44"/>
      <c r="X1" s="44"/>
      <c r="Y1" s="44"/>
      <c r="Z1" s="44"/>
      <c r="AA1" s="57"/>
      <c r="AB1" s="56" t="s">
        <v>28</v>
      </c>
      <c r="AC1" s="44"/>
      <c r="AD1" s="44"/>
      <c r="AE1" s="44"/>
      <c r="AF1" s="44"/>
      <c r="AG1" s="44"/>
      <c r="AH1" s="44"/>
      <c r="AI1" s="44"/>
      <c r="AJ1" s="44"/>
      <c r="AK1" s="57"/>
      <c r="AL1" s="56" t="s">
        <v>29</v>
      </c>
      <c r="AM1" s="44"/>
      <c r="AN1" s="44"/>
      <c r="AO1" s="44"/>
      <c r="AP1" s="44"/>
      <c r="AQ1" s="44"/>
      <c r="AR1" s="44"/>
      <c r="AS1" s="44"/>
      <c r="AT1" s="44"/>
      <c r="AU1" s="57"/>
      <c r="AV1" s="56" t="s">
        <v>30</v>
      </c>
      <c r="AW1" s="44"/>
      <c r="AX1" s="44"/>
      <c r="AY1" s="44"/>
      <c r="AZ1" s="44"/>
      <c r="BA1" s="44"/>
      <c r="BB1" s="44"/>
      <c r="BC1" s="44"/>
      <c r="BD1" s="44"/>
      <c r="BE1" s="57"/>
      <c r="BF1" s="45" t="s">
        <v>53</v>
      </c>
      <c r="BG1" s="44" t="s">
        <v>7</v>
      </c>
      <c r="BH1" s="44" t="s">
        <v>8</v>
      </c>
      <c r="BI1" s="45" t="s">
        <v>9</v>
      </c>
      <c r="BJ1" s="45" t="s">
        <v>10</v>
      </c>
      <c r="BK1" s="45" t="s">
        <v>11</v>
      </c>
      <c r="BL1" s="45" t="s">
        <v>12</v>
      </c>
    </row>
    <row r="2" spans="1:64" x14ac:dyDescent="0.45">
      <c r="G2" s="1" t="s">
        <v>34</v>
      </c>
      <c r="H2" s="56" t="s">
        <v>31</v>
      </c>
      <c r="I2" s="44"/>
      <c r="J2" s="44"/>
      <c r="K2" s="44"/>
      <c r="L2" s="44"/>
      <c r="N2" s="44" t="s">
        <v>32</v>
      </c>
      <c r="O2" s="44"/>
      <c r="P2" s="44"/>
      <c r="Q2" s="57"/>
      <c r="R2" s="56" t="s">
        <v>31</v>
      </c>
      <c r="S2" s="44"/>
      <c r="T2" s="44"/>
      <c r="U2" s="44"/>
      <c r="V2" s="44"/>
      <c r="W2" s="5"/>
      <c r="X2" s="44" t="s">
        <v>32</v>
      </c>
      <c r="Y2" s="44"/>
      <c r="Z2" s="44"/>
      <c r="AA2" s="57"/>
      <c r="AB2" s="56" t="s">
        <v>31</v>
      </c>
      <c r="AC2" s="44"/>
      <c r="AD2" s="44"/>
      <c r="AE2" s="44"/>
      <c r="AF2" s="44"/>
      <c r="AH2" s="44" t="s">
        <v>32</v>
      </c>
      <c r="AI2" s="44"/>
      <c r="AJ2" s="44"/>
      <c r="AK2" s="57"/>
      <c r="AL2" s="56" t="s">
        <v>31</v>
      </c>
      <c r="AM2" s="44"/>
      <c r="AN2" s="44"/>
      <c r="AO2" s="44"/>
      <c r="AP2" s="44"/>
      <c r="AR2" s="44" t="s">
        <v>32</v>
      </c>
      <c r="AS2" s="44"/>
      <c r="AT2" s="44"/>
      <c r="AU2" s="57"/>
      <c r="AV2" s="56" t="s">
        <v>31</v>
      </c>
      <c r="AW2" s="44"/>
      <c r="AX2" s="44"/>
      <c r="AY2" s="44"/>
      <c r="AZ2" s="44"/>
      <c r="BB2" s="44" t="s">
        <v>32</v>
      </c>
      <c r="BC2" s="44"/>
      <c r="BD2" s="44"/>
      <c r="BE2" s="57"/>
      <c r="BF2" s="44"/>
      <c r="BG2" s="44"/>
      <c r="BH2" s="44"/>
      <c r="BI2" s="44"/>
      <c r="BJ2" s="44"/>
      <c r="BK2" s="44"/>
      <c r="BL2" s="44"/>
    </row>
    <row r="3" spans="1:64" x14ac:dyDescent="0.45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33</v>
      </c>
      <c r="H3" s="2" t="s">
        <v>13</v>
      </c>
      <c r="I3" s="1" t="s">
        <v>2</v>
      </c>
      <c r="J3" s="1" t="s">
        <v>3</v>
      </c>
      <c r="K3" s="1" t="s">
        <v>4</v>
      </c>
      <c r="L3" s="4" t="s">
        <v>1</v>
      </c>
      <c r="M3" s="5" t="s">
        <v>14</v>
      </c>
      <c r="N3" s="1" t="s">
        <v>3</v>
      </c>
      <c r="O3" s="1" t="s">
        <v>4</v>
      </c>
      <c r="P3" s="4" t="s">
        <v>5</v>
      </c>
      <c r="Q3" s="3" t="s">
        <v>6</v>
      </c>
      <c r="R3" s="1" t="s">
        <v>13</v>
      </c>
      <c r="S3" s="1" t="s">
        <v>2</v>
      </c>
      <c r="T3" s="1" t="s">
        <v>3</v>
      </c>
      <c r="U3" s="1" t="s">
        <v>4</v>
      </c>
      <c r="V3" s="4" t="s">
        <v>1</v>
      </c>
      <c r="W3" s="5" t="s">
        <v>14</v>
      </c>
      <c r="X3" s="1" t="s">
        <v>3</v>
      </c>
      <c r="Y3" s="1" t="s">
        <v>4</v>
      </c>
      <c r="Z3" s="4" t="s">
        <v>5</v>
      </c>
      <c r="AA3" s="1" t="s">
        <v>6</v>
      </c>
      <c r="AB3" s="2" t="s">
        <v>13</v>
      </c>
      <c r="AC3" s="1" t="s">
        <v>2</v>
      </c>
      <c r="AD3" s="1" t="s">
        <v>3</v>
      </c>
      <c r="AE3" s="1" t="s">
        <v>4</v>
      </c>
      <c r="AF3" s="4" t="s">
        <v>1</v>
      </c>
      <c r="AG3" s="6" t="s">
        <v>14</v>
      </c>
      <c r="AH3" s="1" t="s">
        <v>3</v>
      </c>
      <c r="AI3" s="1" t="s">
        <v>4</v>
      </c>
      <c r="AJ3" s="4" t="s">
        <v>5</v>
      </c>
      <c r="AK3" s="3" t="s">
        <v>6</v>
      </c>
      <c r="AL3" s="1" t="s">
        <v>13</v>
      </c>
      <c r="AM3" s="1" t="s">
        <v>2</v>
      </c>
      <c r="AN3" s="1" t="s">
        <v>3</v>
      </c>
      <c r="AO3" s="1" t="s">
        <v>4</v>
      </c>
      <c r="AP3" s="4" t="s">
        <v>1</v>
      </c>
      <c r="AQ3" s="5" t="s">
        <v>14</v>
      </c>
      <c r="AR3" s="1" t="s">
        <v>3</v>
      </c>
      <c r="AS3" s="1" t="s">
        <v>4</v>
      </c>
      <c r="AT3" s="4" t="s">
        <v>5</v>
      </c>
      <c r="AU3" s="1" t="s">
        <v>6</v>
      </c>
      <c r="AV3" s="2" t="s">
        <v>13</v>
      </c>
      <c r="AW3" s="1" t="s">
        <v>2</v>
      </c>
      <c r="AX3" s="1" t="s">
        <v>3</v>
      </c>
      <c r="AY3" s="1" t="s">
        <v>4</v>
      </c>
      <c r="AZ3" s="4" t="s">
        <v>1</v>
      </c>
      <c r="BA3" s="5" t="s">
        <v>14</v>
      </c>
      <c r="BB3" s="1" t="s">
        <v>3</v>
      </c>
      <c r="BC3" s="1" t="s">
        <v>4</v>
      </c>
      <c r="BD3" s="4" t="s">
        <v>5</v>
      </c>
      <c r="BE3" s="3" t="s">
        <v>6</v>
      </c>
      <c r="BF3" s="44"/>
      <c r="BG3" s="44"/>
      <c r="BH3" s="44"/>
      <c r="BI3" s="44"/>
      <c r="BJ3" s="44"/>
      <c r="BK3" s="44"/>
      <c r="BL3" s="44"/>
    </row>
    <row r="4" spans="1:64" s="16" customFormat="1" ht="14" customHeight="1" x14ac:dyDescent="0.45">
      <c r="A4" s="46" t="s">
        <v>18</v>
      </c>
      <c r="B4" s="51" t="s">
        <v>65</v>
      </c>
      <c r="C4" s="49" t="s">
        <v>22</v>
      </c>
      <c r="D4" s="49" t="s">
        <v>23</v>
      </c>
      <c r="E4" s="51" t="s">
        <v>19</v>
      </c>
      <c r="F4" s="49" t="s">
        <v>20</v>
      </c>
      <c r="G4" s="62" t="s">
        <v>56</v>
      </c>
      <c r="H4" s="17">
        <v>0.17113</v>
      </c>
      <c r="I4" s="16">
        <v>0.72979000000000005</v>
      </c>
      <c r="J4" s="16">
        <v>0.85238000000000003</v>
      </c>
      <c r="K4" s="16">
        <v>0.83523999999999998</v>
      </c>
      <c r="L4" s="18">
        <v>0.84336999999999995</v>
      </c>
      <c r="M4" s="19">
        <v>0.27149000000000001</v>
      </c>
      <c r="N4" s="16">
        <v>0.68230000000000002</v>
      </c>
      <c r="O4" s="16">
        <v>0.80864999999999998</v>
      </c>
      <c r="P4" s="18">
        <v>0.73968</v>
      </c>
      <c r="Q4" s="20">
        <v>0.78703999999999996</v>
      </c>
      <c r="R4" s="16">
        <v>0.47156999999999999</v>
      </c>
      <c r="S4" s="16">
        <v>0.84782999999999997</v>
      </c>
      <c r="T4" s="16">
        <v>0.95052000000000003</v>
      </c>
      <c r="U4" s="16">
        <v>0.88634999999999997</v>
      </c>
      <c r="V4" s="18">
        <v>0.91679999999999995</v>
      </c>
      <c r="W4" s="19">
        <v>0.36321999999999999</v>
      </c>
      <c r="X4" s="16">
        <v>0.86346000000000001</v>
      </c>
      <c r="Y4" s="16">
        <v>0.88739999999999997</v>
      </c>
      <c r="Z4" s="18">
        <v>0.87426999999999999</v>
      </c>
      <c r="AA4" s="16">
        <v>0.84057000000000004</v>
      </c>
      <c r="AB4" s="17">
        <v>6.5820000000000004E-2</v>
      </c>
      <c r="AC4" s="16">
        <v>0.44918999999999998</v>
      </c>
      <c r="AD4" s="16">
        <v>0.61295999999999995</v>
      </c>
      <c r="AE4" s="16">
        <v>0.62761</v>
      </c>
      <c r="AF4" s="18">
        <v>0.61900999999999995</v>
      </c>
      <c r="AG4" s="21">
        <v>0.15</v>
      </c>
      <c r="AH4" s="16">
        <v>0.50451000000000001</v>
      </c>
      <c r="AI4" s="16">
        <v>0.46722999999999998</v>
      </c>
      <c r="AJ4" s="18">
        <v>0.48149999999999998</v>
      </c>
      <c r="AK4" s="20">
        <v>0.39073000000000002</v>
      </c>
      <c r="AL4" s="16">
        <v>0.14165</v>
      </c>
      <c r="AM4" s="16">
        <v>0.60214999999999996</v>
      </c>
      <c r="AN4" s="16">
        <v>0.78039999999999998</v>
      </c>
      <c r="AO4" s="16">
        <v>0.72130000000000005</v>
      </c>
      <c r="AP4" s="18">
        <v>0.74705999999999995</v>
      </c>
      <c r="AQ4" s="19">
        <v>0.21901000000000001</v>
      </c>
      <c r="AR4" s="16">
        <v>0.66537999999999997</v>
      </c>
      <c r="AS4" s="16">
        <v>0.73243999999999998</v>
      </c>
      <c r="AT4" s="18">
        <v>0.69042000000000003</v>
      </c>
      <c r="AU4" s="16">
        <v>0.61150000000000004</v>
      </c>
      <c r="AV4" s="17">
        <v>0.30836000000000002</v>
      </c>
      <c r="AW4" s="16">
        <v>0.69581999999999999</v>
      </c>
      <c r="AX4" s="16">
        <v>0.87190999999999996</v>
      </c>
      <c r="AY4" s="16">
        <v>0.77058000000000004</v>
      </c>
      <c r="AZ4" s="18">
        <v>0.81091999999999997</v>
      </c>
      <c r="BA4" s="19">
        <v>0.20992</v>
      </c>
      <c r="BB4" s="16">
        <v>0.79449000000000003</v>
      </c>
      <c r="BC4" s="16">
        <v>0.84569000000000005</v>
      </c>
      <c r="BD4" s="18">
        <v>0.80908000000000002</v>
      </c>
      <c r="BE4" s="20">
        <v>0.68254999999999999</v>
      </c>
      <c r="BF4" s="16">
        <v>18978</v>
      </c>
    </row>
    <row r="5" spans="1:64" x14ac:dyDescent="0.45">
      <c r="A5" s="47"/>
      <c r="B5" s="44"/>
      <c r="C5" s="45"/>
      <c r="D5" s="45"/>
      <c r="E5" s="44"/>
      <c r="F5" s="45"/>
      <c r="G5" s="63"/>
      <c r="H5" s="2">
        <v>0.20873</v>
      </c>
      <c r="I5" s="1">
        <v>0.72248999999999997</v>
      </c>
      <c r="J5" s="1">
        <v>0.84399000000000002</v>
      </c>
      <c r="K5" s="1">
        <v>0.83360000000000001</v>
      </c>
      <c r="L5" s="4">
        <v>0.83862000000000003</v>
      </c>
      <c r="M5" s="5">
        <v>0.29916999999999999</v>
      </c>
      <c r="N5" s="1">
        <v>0.70030000000000003</v>
      </c>
      <c r="O5" s="1">
        <v>0.79969999999999997</v>
      </c>
      <c r="P5" s="4">
        <v>0.74631000000000003</v>
      </c>
      <c r="Q5" s="3">
        <v>0.79047000000000001</v>
      </c>
      <c r="R5" s="1">
        <v>0.49736000000000002</v>
      </c>
      <c r="S5" s="1">
        <v>0.83148</v>
      </c>
      <c r="T5" s="1">
        <v>0.93735000000000002</v>
      </c>
      <c r="U5" s="1">
        <v>0.87944</v>
      </c>
      <c r="V5" s="4">
        <v>0.90686</v>
      </c>
      <c r="W5" s="5">
        <v>0.29752000000000001</v>
      </c>
      <c r="X5" s="1">
        <v>0.84218999999999999</v>
      </c>
      <c r="Y5" s="1">
        <v>0.88909000000000005</v>
      </c>
      <c r="Z5" s="4">
        <v>0.86348000000000003</v>
      </c>
      <c r="AA5" s="1">
        <v>0.83238999999999996</v>
      </c>
      <c r="AB5" s="2">
        <v>6.4659999999999995E-2</v>
      </c>
      <c r="AC5" s="1">
        <v>0.44924999999999998</v>
      </c>
      <c r="AD5" s="1">
        <v>0.61543000000000003</v>
      </c>
      <c r="AE5" s="1">
        <v>0.62517</v>
      </c>
      <c r="AF5" s="4">
        <v>0.61892000000000003</v>
      </c>
      <c r="AG5" s="6">
        <v>0.17727000000000001</v>
      </c>
      <c r="AH5" s="1">
        <v>0.52383000000000002</v>
      </c>
      <c r="AI5" s="1">
        <v>0.44528000000000001</v>
      </c>
      <c r="AJ5" s="4">
        <v>0.47700999999999999</v>
      </c>
      <c r="AK5" s="3">
        <v>0.3972</v>
      </c>
      <c r="AL5" s="1">
        <v>0.14430000000000001</v>
      </c>
      <c r="AM5" s="1">
        <v>0.60133999999999999</v>
      </c>
      <c r="AN5" s="1">
        <v>0.77541000000000004</v>
      </c>
      <c r="AO5" s="1">
        <v>0.72558999999999996</v>
      </c>
      <c r="AP5" s="4">
        <v>0.74678</v>
      </c>
      <c r="AQ5" s="5">
        <v>0.22156000000000001</v>
      </c>
      <c r="AR5" s="1">
        <v>0.66496999999999995</v>
      </c>
      <c r="AS5" s="1">
        <v>0.72570000000000001</v>
      </c>
      <c r="AT5" s="4">
        <v>0.68620999999999999</v>
      </c>
      <c r="AU5" s="1">
        <v>0.61568000000000001</v>
      </c>
      <c r="AV5" s="2">
        <v>0.31651000000000001</v>
      </c>
      <c r="AW5" s="1">
        <v>0.69362999999999997</v>
      </c>
      <c r="AX5" s="1">
        <v>0.86917999999999995</v>
      </c>
      <c r="AY5" s="1">
        <v>0.77132999999999996</v>
      </c>
      <c r="AZ5" s="4">
        <v>0.81020000000000003</v>
      </c>
      <c r="BA5" s="5">
        <v>0.21131</v>
      </c>
      <c r="BB5" s="1">
        <v>0.79942000000000002</v>
      </c>
      <c r="BC5" s="1">
        <v>0.84355999999999998</v>
      </c>
      <c r="BD5" s="4">
        <v>0.81125999999999998</v>
      </c>
      <c r="BE5" s="3">
        <v>0.68020000000000003</v>
      </c>
    </row>
    <row r="6" spans="1:64" x14ac:dyDescent="0.45">
      <c r="A6" s="47"/>
      <c r="B6" s="44"/>
      <c r="C6" s="45"/>
      <c r="D6" s="45"/>
      <c r="E6" s="44"/>
      <c r="F6" s="45"/>
      <c r="G6" s="63"/>
      <c r="H6" s="2">
        <v>0.16517999999999999</v>
      </c>
      <c r="I6" s="1">
        <v>0.71982000000000002</v>
      </c>
      <c r="J6" s="1">
        <v>0.85175999999999996</v>
      </c>
      <c r="K6" s="1">
        <v>0.82274999999999998</v>
      </c>
      <c r="L6" s="4">
        <v>0.83679000000000003</v>
      </c>
      <c r="M6" s="5">
        <v>0.25814999999999999</v>
      </c>
      <c r="N6" s="1">
        <v>0.6986</v>
      </c>
      <c r="O6" s="1">
        <v>0.83672999999999997</v>
      </c>
      <c r="P6" s="4">
        <v>0.76097999999999999</v>
      </c>
      <c r="Q6" s="3">
        <v>0.77678999999999998</v>
      </c>
      <c r="R6" s="1">
        <v>0.49</v>
      </c>
      <c r="S6" s="1">
        <v>0.83794000000000002</v>
      </c>
      <c r="T6" s="1">
        <v>0.94445999999999997</v>
      </c>
      <c r="U6" s="1">
        <v>0.88071999999999995</v>
      </c>
      <c r="V6" s="4">
        <v>0.91088000000000002</v>
      </c>
      <c r="W6" s="5">
        <v>0.32</v>
      </c>
      <c r="X6" s="1">
        <v>0.86455000000000004</v>
      </c>
      <c r="Y6" s="1">
        <v>0.90988000000000002</v>
      </c>
      <c r="Z6" s="4">
        <v>0.88553999999999999</v>
      </c>
      <c r="AA6" s="1">
        <v>0.83503000000000005</v>
      </c>
      <c r="AB6" s="2">
        <v>6.8599999999999994E-2</v>
      </c>
      <c r="AC6" s="1">
        <v>0.45421</v>
      </c>
      <c r="AD6" s="1">
        <v>0.62209000000000003</v>
      </c>
      <c r="AE6" s="1">
        <v>0.62741999999999998</v>
      </c>
      <c r="AF6" s="4">
        <v>0.62338000000000005</v>
      </c>
      <c r="AG6" s="6">
        <v>0.17699999999999999</v>
      </c>
      <c r="AH6" s="1">
        <v>0.53647999999999996</v>
      </c>
      <c r="AI6" s="1">
        <v>0.44706000000000001</v>
      </c>
      <c r="AJ6" s="4">
        <v>0.48176000000000002</v>
      </c>
      <c r="AK6" s="3">
        <v>0.39878999999999998</v>
      </c>
      <c r="AL6" s="1">
        <v>0.14363999999999999</v>
      </c>
      <c r="AM6" s="1">
        <v>0.60753000000000001</v>
      </c>
      <c r="AN6" s="1">
        <v>0.77895999999999999</v>
      </c>
      <c r="AO6" s="1">
        <v>0.73092999999999997</v>
      </c>
      <c r="AP6" s="4">
        <v>0.75163999999999997</v>
      </c>
      <c r="AQ6" s="5">
        <v>0.23479</v>
      </c>
      <c r="AR6" s="1">
        <v>0.68440999999999996</v>
      </c>
      <c r="AS6" s="1">
        <v>0.74187000000000003</v>
      </c>
      <c r="AT6" s="4">
        <v>0.70418999999999998</v>
      </c>
      <c r="AU6" s="1">
        <v>0.61040000000000005</v>
      </c>
      <c r="AV6" s="2">
        <v>0.31983</v>
      </c>
      <c r="AW6" s="1">
        <v>0.69388000000000005</v>
      </c>
      <c r="AX6" s="1">
        <v>0.87117999999999995</v>
      </c>
      <c r="AY6" s="1">
        <v>0.76973000000000003</v>
      </c>
      <c r="AZ6" s="4">
        <v>0.81069000000000002</v>
      </c>
      <c r="BA6" s="5">
        <v>0.22847000000000001</v>
      </c>
      <c r="BB6" s="1">
        <v>0.82589999999999997</v>
      </c>
      <c r="BC6" s="1">
        <v>0.84601999999999999</v>
      </c>
      <c r="BD6" s="4">
        <v>0.82567000000000002</v>
      </c>
      <c r="BE6" s="3">
        <v>0.68876000000000004</v>
      </c>
    </row>
    <row r="7" spans="1:64" x14ac:dyDescent="0.45">
      <c r="A7" s="47"/>
      <c r="B7" s="44"/>
      <c r="C7" s="45"/>
      <c r="D7" s="45"/>
      <c r="E7" s="44"/>
      <c r="F7" s="45"/>
      <c r="G7" s="63"/>
      <c r="H7" s="2">
        <v>0.22</v>
      </c>
      <c r="I7" s="1">
        <v>0.71450999999999998</v>
      </c>
      <c r="J7" s="1">
        <v>0.85148000000000001</v>
      </c>
      <c r="K7" s="1">
        <v>0.81574000000000002</v>
      </c>
      <c r="L7" s="4">
        <v>0.83301000000000003</v>
      </c>
      <c r="M7" s="5">
        <v>0.25718999999999997</v>
      </c>
      <c r="N7" s="1">
        <v>0.70279000000000003</v>
      </c>
      <c r="O7" s="1">
        <v>0.82223999999999997</v>
      </c>
      <c r="P7" s="4">
        <v>0.75712000000000002</v>
      </c>
      <c r="Q7" s="3">
        <v>0.77473000000000003</v>
      </c>
      <c r="R7" s="1">
        <v>0.48985000000000001</v>
      </c>
      <c r="S7" s="1">
        <v>0.82816000000000001</v>
      </c>
      <c r="T7" s="1">
        <v>0.93162</v>
      </c>
      <c r="U7" s="1">
        <v>0.88073000000000001</v>
      </c>
      <c r="V7" s="4">
        <v>0.90486999999999995</v>
      </c>
      <c r="W7" s="5">
        <v>0.35730000000000001</v>
      </c>
      <c r="X7" s="1">
        <v>0.85531999999999997</v>
      </c>
      <c r="Y7" s="1">
        <v>0.90588999999999997</v>
      </c>
      <c r="Z7" s="4">
        <v>0.87834999999999996</v>
      </c>
      <c r="AA7" s="1">
        <v>0.83942000000000005</v>
      </c>
      <c r="AB7" s="2">
        <v>6.8709999999999993E-2</v>
      </c>
      <c r="AC7" s="1">
        <v>0.44778000000000001</v>
      </c>
      <c r="AD7" s="1">
        <v>0.61802999999999997</v>
      </c>
      <c r="AE7" s="1">
        <v>0.61934</v>
      </c>
      <c r="AF7" s="4">
        <v>0.61753000000000002</v>
      </c>
      <c r="AG7" s="6">
        <v>0.18126999999999999</v>
      </c>
      <c r="AH7" s="1">
        <v>0.55122000000000004</v>
      </c>
      <c r="AI7" s="1">
        <v>0.43256</v>
      </c>
      <c r="AJ7" s="4">
        <v>0.47887000000000002</v>
      </c>
      <c r="AK7" s="3">
        <v>0.40261000000000002</v>
      </c>
      <c r="AL7" s="1">
        <v>0.15090999999999999</v>
      </c>
      <c r="AM7" s="1">
        <v>0.60084000000000004</v>
      </c>
      <c r="AN7" s="1">
        <v>0.77875000000000005</v>
      </c>
      <c r="AO7" s="1">
        <v>0.72196000000000005</v>
      </c>
      <c r="AP7" s="4">
        <v>0.74629999999999996</v>
      </c>
      <c r="AQ7" s="5">
        <v>0.23208999999999999</v>
      </c>
      <c r="AR7" s="1">
        <v>0.68369000000000002</v>
      </c>
      <c r="AS7" s="1">
        <v>0.73370000000000002</v>
      </c>
      <c r="AT7" s="4">
        <v>0.70106000000000002</v>
      </c>
      <c r="AU7" s="1">
        <v>0.61917</v>
      </c>
      <c r="AV7" s="2">
        <v>0.32045000000000001</v>
      </c>
      <c r="AW7" s="1">
        <v>0.68732000000000004</v>
      </c>
      <c r="AX7" s="1">
        <v>0.86241000000000001</v>
      </c>
      <c r="AY7" s="1">
        <v>0.76783000000000001</v>
      </c>
      <c r="AZ7" s="4">
        <v>0.80559000000000003</v>
      </c>
      <c r="BA7" s="5">
        <v>0.22833999999999999</v>
      </c>
      <c r="BB7" s="1">
        <v>0.81564000000000003</v>
      </c>
      <c r="BC7" s="1">
        <v>0.85121000000000002</v>
      </c>
      <c r="BD7" s="4">
        <v>0.82494000000000001</v>
      </c>
      <c r="BE7" s="3">
        <v>0.68952000000000002</v>
      </c>
    </row>
    <row r="8" spans="1:64" s="24" customFormat="1" x14ac:dyDescent="0.45">
      <c r="A8" s="48"/>
      <c r="B8" s="50"/>
      <c r="C8" s="58"/>
      <c r="D8" s="58"/>
      <c r="E8" s="50"/>
      <c r="F8" s="58"/>
      <c r="G8" s="64"/>
      <c r="H8" s="26">
        <v>0.18129000000000001</v>
      </c>
      <c r="I8" s="24">
        <v>0.72902</v>
      </c>
      <c r="J8" s="24">
        <v>0.85070000000000001</v>
      </c>
      <c r="K8" s="24">
        <v>0.83540999999999999</v>
      </c>
      <c r="L8" s="27">
        <v>0.84279999999999999</v>
      </c>
      <c r="M8" s="28">
        <v>0.23916000000000001</v>
      </c>
      <c r="N8" s="24">
        <v>0.68794</v>
      </c>
      <c r="O8" s="24">
        <v>0.83131999999999995</v>
      </c>
      <c r="P8" s="27">
        <v>0.75270000000000004</v>
      </c>
      <c r="Q8" s="25">
        <v>0.77839000000000003</v>
      </c>
      <c r="R8" s="24">
        <v>0.49753999999999998</v>
      </c>
      <c r="S8" s="24">
        <v>0.83482999999999996</v>
      </c>
      <c r="T8" s="24">
        <v>0.93389999999999995</v>
      </c>
      <c r="U8" s="24">
        <v>0.88576999999999995</v>
      </c>
      <c r="V8" s="27">
        <v>0.90829000000000004</v>
      </c>
      <c r="W8" s="28">
        <v>0.2757</v>
      </c>
      <c r="X8" s="24">
        <v>0.84133000000000002</v>
      </c>
      <c r="Y8" s="24">
        <v>0.90739999999999998</v>
      </c>
      <c r="Z8" s="27">
        <v>0.87134999999999996</v>
      </c>
      <c r="AA8" s="24">
        <v>0.83499999999999996</v>
      </c>
      <c r="AB8" s="26">
        <v>6.8599999999999994E-2</v>
      </c>
      <c r="AC8" s="24">
        <v>0.45656999999999998</v>
      </c>
      <c r="AD8" s="24">
        <v>0.62639</v>
      </c>
      <c r="AE8" s="24">
        <v>0.62717999999999996</v>
      </c>
      <c r="AF8" s="27">
        <v>0.62578</v>
      </c>
      <c r="AG8" s="29">
        <v>0.18049999999999999</v>
      </c>
      <c r="AH8" s="24">
        <v>0.53159000000000001</v>
      </c>
      <c r="AI8" s="24">
        <v>0.44861000000000001</v>
      </c>
      <c r="AJ8" s="27">
        <v>0.48047000000000001</v>
      </c>
      <c r="AK8" s="25">
        <v>0.40223999999999999</v>
      </c>
      <c r="AL8" s="24">
        <v>0.15271000000000001</v>
      </c>
      <c r="AM8" s="24">
        <v>0.60902000000000001</v>
      </c>
      <c r="AN8" s="24">
        <v>0.78052999999999995</v>
      </c>
      <c r="AO8" s="24">
        <v>0.73075999999999997</v>
      </c>
      <c r="AP8" s="27">
        <v>0.75249999999999995</v>
      </c>
      <c r="AQ8" s="28">
        <v>0.22658</v>
      </c>
      <c r="AR8" s="24">
        <v>0.69281000000000004</v>
      </c>
      <c r="AS8" s="24">
        <v>0.74375000000000002</v>
      </c>
      <c r="AT8" s="27">
        <v>0.71223000000000003</v>
      </c>
      <c r="AU8" s="24">
        <v>0.62402999999999997</v>
      </c>
      <c r="AV8" s="26">
        <v>0.34712999999999999</v>
      </c>
      <c r="AW8" s="24">
        <v>0.69718999999999998</v>
      </c>
      <c r="AX8" s="24">
        <v>0.87141000000000002</v>
      </c>
      <c r="AY8" s="24">
        <v>0.77376999999999996</v>
      </c>
      <c r="AZ8" s="27">
        <v>0.81264000000000003</v>
      </c>
      <c r="BA8" s="28">
        <v>0.22697999999999999</v>
      </c>
      <c r="BB8" s="24">
        <v>0.82582999999999995</v>
      </c>
      <c r="BC8" s="24">
        <v>0.84780999999999995</v>
      </c>
      <c r="BD8" s="27">
        <v>0.82828999999999997</v>
      </c>
      <c r="BE8" s="25">
        <v>0.68813000000000002</v>
      </c>
    </row>
    <row r="9" spans="1:64" s="7" customFormat="1" x14ac:dyDescent="0.45">
      <c r="A9" s="13" t="s">
        <v>62</v>
      </c>
      <c r="D9" s="7" t="s">
        <v>15</v>
      </c>
      <c r="H9" s="8">
        <v>6.2640000000000001E-2</v>
      </c>
      <c r="I9" s="7">
        <v>0.70706000000000002</v>
      </c>
      <c r="J9" s="7">
        <v>0.83545000000000003</v>
      </c>
      <c r="K9" s="7">
        <v>0.82111999999999996</v>
      </c>
      <c r="L9" s="9">
        <v>0.82801000000000002</v>
      </c>
      <c r="M9" s="10">
        <v>0.32208999999999999</v>
      </c>
      <c r="N9" s="7">
        <v>0.66300000000000003</v>
      </c>
      <c r="O9" s="7">
        <v>0.79596999999999996</v>
      </c>
      <c r="P9" s="9">
        <v>0.72284000000000004</v>
      </c>
      <c r="Q9" s="11">
        <v>0.76903999999999995</v>
      </c>
      <c r="R9" s="7">
        <v>0.48726999999999998</v>
      </c>
      <c r="S9" s="7">
        <v>0.82459000000000005</v>
      </c>
      <c r="T9" s="7">
        <v>0.93167999999999995</v>
      </c>
      <c r="U9" s="7">
        <v>0.87668999999999997</v>
      </c>
      <c r="V9" s="9">
        <v>0.90276000000000001</v>
      </c>
      <c r="W9" s="12">
        <v>0.34784999999999999</v>
      </c>
      <c r="X9" s="7">
        <v>0.82708000000000004</v>
      </c>
      <c r="Y9" s="7">
        <v>0.87495999999999996</v>
      </c>
      <c r="Z9" s="9">
        <v>0.84865000000000002</v>
      </c>
      <c r="AA9" s="7">
        <v>0.83277000000000001</v>
      </c>
      <c r="AB9" s="8">
        <v>7.8200000000000006E-3</v>
      </c>
      <c r="AC9" s="7">
        <v>0.44774000000000003</v>
      </c>
      <c r="AD9" s="7">
        <v>0.61282000000000003</v>
      </c>
      <c r="AE9" s="7">
        <v>0.62434000000000001</v>
      </c>
      <c r="AF9" s="9">
        <v>0.61751</v>
      </c>
      <c r="AG9" s="12">
        <v>0.27017999999999998</v>
      </c>
      <c r="AH9" s="7">
        <v>0.55181000000000002</v>
      </c>
      <c r="AI9" s="7">
        <v>0.38258999999999999</v>
      </c>
      <c r="AJ9" s="9">
        <v>0.4451</v>
      </c>
      <c r="AK9" s="11">
        <v>0.39861999999999997</v>
      </c>
      <c r="AL9" s="7">
        <v>6.0240000000000002E-2</v>
      </c>
      <c r="AM9" s="7">
        <v>0.59953999999999996</v>
      </c>
      <c r="AN9" s="7">
        <v>0.81096999999999997</v>
      </c>
      <c r="AO9" s="7">
        <v>0.69574000000000003</v>
      </c>
      <c r="AP9" s="9">
        <v>0.74534999999999996</v>
      </c>
      <c r="AQ9" s="10">
        <v>0.27351999999999999</v>
      </c>
      <c r="AR9" s="7">
        <v>0.69562999999999997</v>
      </c>
      <c r="AS9" s="7">
        <v>0.67501999999999995</v>
      </c>
      <c r="AT9" s="9">
        <v>0.67747000000000002</v>
      </c>
      <c r="AU9" s="7">
        <v>0.61275999999999997</v>
      </c>
      <c r="AV9" s="8">
        <v>0.25065999999999999</v>
      </c>
      <c r="AW9" s="7">
        <v>0.69345999999999997</v>
      </c>
      <c r="AX9" s="7">
        <v>0.87729000000000001</v>
      </c>
      <c r="AY9" s="7">
        <v>0.76493999999999995</v>
      </c>
      <c r="AZ9" s="9">
        <v>0.80947999999999998</v>
      </c>
      <c r="BA9" s="10">
        <v>0.27644999999999997</v>
      </c>
      <c r="BB9" s="7">
        <v>0.81721999999999995</v>
      </c>
      <c r="BC9" s="7">
        <v>0.78366999999999998</v>
      </c>
      <c r="BD9" s="9">
        <v>0.79054000000000002</v>
      </c>
      <c r="BE9" s="11">
        <v>0.68874000000000002</v>
      </c>
    </row>
    <row r="10" spans="1:64" s="7" customFormat="1" x14ac:dyDescent="0.45">
      <c r="A10" s="13" t="s">
        <v>63</v>
      </c>
      <c r="D10" s="7" t="s">
        <v>16</v>
      </c>
      <c r="H10" s="8">
        <v>0.28578999999999999</v>
      </c>
      <c r="I10" s="7">
        <v>0.7329</v>
      </c>
      <c r="J10" s="7">
        <v>0.85804999999999998</v>
      </c>
      <c r="K10" s="7">
        <v>0.83386000000000005</v>
      </c>
      <c r="L10" s="9">
        <v>0.84548999999999996</v>
      </c>
      <c r="M10" s="10">
        <v>0.30818000000000001</v>
      </c>
      <c r="N10" s="7">
        <v>0.69681000000000004</v>
      </c>
      <c r="O10" s="7">
        <v>0.83113000000000004</v>
      </c>
      <c r="P10" s="9">
        <v>0.75753999999999999</v>
      </c>
      <c r="Q10" s="11">
        <v>0.79388999999999998</v>
      </c>
      <c r="R10" s="7">
        <v>0.49769000000000002</v>
      </c>
      <c r="S10" s="7">
        <v>0.84009</v>
      </c>
      <c r="T10" s="7">
        <v>0.94083000000000006</v>
      </c>
      <c r="U10" s="7">
        <v>0.88639999999999997</v>
      </c>
      <c r="V10" s="9">
        <v>0.91225000000000001</v>
      </c>
      <c r="W10" s="12">
        <v>0.41554000000000002</v>
      </c>
      <c r="X10" s="7">
        <v>0.84365999999999997</v>
      </c>
      <c r="Y10" s="7">
        <v>0.89661999999999997</v>
      </c>
      <c r="Z10" s="9">
        <v>0.86809000000000003</v>
      </c>
      <c r="AA10" s="7">
        <v>0.83528999999999998</v>
      </c>
      <c r="AB10" s="8">
        <v>0.15579999999999999</v>
      </c>
      <c r="AC10" s="7">
        <v>0.44890000000000002</v>
      </c>
      <c r="AD10" s="7">
        <v>0.62709999999999999</v>
      </c>
      <c r="AE10" s="7">
        <v>0.61192000000000002</v>
      </c>
      <c r="AF10" s="9">
        <v>0.61833000000000005</v>
      </c>
      <c r="AG10" s="12">
        <v>0.27099000000000001</v>
      </c>
      <c r="AH10" s="7">
        <v>0.59414</v>
      </c>
      <c r="AI10" s="7">
        <v>0.44277</v>
      </c>
      <c r="AJ10" s="9">
        <v>0.50292000000000003</v>
      </c>
      <c r="AK10" s="11">
        <v>0.40753</v>
      </c>
      <c r="AL10" s="7">
        <v>0.23455000000000001</v>
      </c>
      <c r="AM10" s="7">
        <v>0.60777000000000003</v>
      </c>
      <c r="AN10" s="7">
        <v>0.78036000000000005</v>
      </c>
      <c r="AO10" s="7">
        <v>0.73024</v>
      </c>
      <c r="AP10" s="9">
        <v>0.75192999999999999</v>
      </c>
      <c r="AQ10" s="10">
        <v>0.27942</v>
      </c>
      <c r="AR10" s="7">
        <v>0.68062999999999996</v>
      </c>
      <c r="AS10" s="7">
        <v>0.75665000000000004</v>
      </c>
      <c r="AT10" s="9">
        <v>0.71221999999999996</v>
      </c>
      <c r="AU10" s="7">
        <v>0.62965000000000004</v>
      </c>
      <c r="AV10" s="8">
        <v>0.35952000000000001</v>
      </c>
      <c r="AW10" s="7">
        <v>0.69894999999999996</v>
      </c>
      <c r="AX10" s="7">
        <v>0.85779000000000005</v>
      </c>
      <c r="AY10" s="7">
        <v>0.78642999999999996</v>
      </c>
      <c r="AZ10" s="9">
        <v>0.81455</v>
      </c>
      <c r="BA10" s="10">
        <v>0.30273</v>
      </c>
      <c r="BB10" s="7">
        <v>0.78188999999999997</v>
      </c>
      <c r="BC10" s="7">
        <v>0.85643000000000002</v>
      </c>
      <c r="BD10" s="9">
        <v>0.80757000000000001</v>
      </c>
      <c r="BE10" s="11">
        <v>0.69525999999999999</v>
      </c>
    </row>
    <row r="11" spans="1:64" x14ac:dyDescent="0.45">
      <c r="A11" s="44" t="s">
        <v>17</v>
      </c>
      <c r="B11" s="44" t="s">
        <v>65</v>
      </c>
      <c r="C11" s="45" t="s">
        <v>22</v>
      </c>
      <c r="D11" s="45" t="s">
        <v>23</v>
      </c>
      <c r="E11" s="44" t="s">
        <v>19</v>
      </c>
      <c r="F11" s="65" t="s">
        <v>24</v>
      </c>
      <c r="G11" s="45" t="s">
        <v>55</v>
      </c>
      <c r="H11" s="2">
        <v>0.14982999999999999</v>
      </c>
      <c r="I11" s="1">
        <v>0.67044999999999999</v>
      </c>
      <c r="J11" s="1">
        <v>0.80032999999999999</v>
      </c>
      <c r="K11" s="1">
        <v>0.80481999999999998</v>
      </c>
      <c r="L11" s="4">
        <v>0.80234000000000005</v>
      </c>
      <c r="M11" s="5">
        <v>0.26074000000000003</v>
      </c>
      <c r="N11" s="1">
        <v>0.61936000000000002</v>
      </c>
      <c r="O11" s="1">
        <v>0.77966000000000002</v>
      </c>
      <c r="P11" s="4">
        <v>0.68933999999999995</v>
      </c>
      <c r="Q11" s="3">
        <v>0.74239999999999995</v>
      </c>
      <c r="R11" s="1">
        <v>0.48565999999999998</v>
      </c>
      <c r="S11" s="1">
        <v>0.81528999999999996</v>
      </c>
      <c r="T11" s="1">
        <v>0.91857</v>
      </c>
      <c r="U11" s="1">
        <v>0.87451000000000001</v>
      </c>
      <c r="V11" s="4">
        <v>0.89512999999999998</v>
      </c>
      <c r="W11" s="6">
        <v>0.3</v>
      </c>
      <c r="X11" s="1">
        <v>0.84992999999999996</v>
      </c>
      <c r="Y11" s="1">
        <v>0.88210999999999995</v>
      </c>
      <c r="Z11" s="4">
        <v>0.86211000000000004</v>
      </c>
      <c r="AA11" s="1">
        <v>0.81720000000000004</v>
      </c>
      <c r="AB11" s="2">
        <v>6.8199999999999997E-2</v>
      </c>
      <c r="AC11" s="1">
        <v>0.43640000000000001</v>
      </c>
      <c r="AD11" s="1">
        <v>0.59540000000000004</v>
      </c>
      <c r="AE11" s="1">
        <v>0.61897999999999997</v>
      </c>
      <c r="AF11" s="4">
        <v>0.60633999999999999</v>
      </c>
      <c r="AG11" s="6">
        <v>0.12726999999999999</v>
      </c>
      <c r="AH11" s="1">
        <v>0.47871000000000002</v>
      </c>
      <c r="AI11" s="1">
        <v>0.43872</v>
      </c>
      <c r="AJ11" s="4">
        <v>0.45455000000000001</v>
      </c>
      <c r="AK11" s="3">
        <v>0.39494000000000001</v>
      </c>
      <c r="AL11" s="1">
        <v>0.13802</v>
      </c>
      <c r="AM11" s="1">
        <v>0.57245000000000001</v>
      </c>
      <c r="AN11" s="1">
        <v>0.74826999999999999</v>
      </c>
      <c r="AO11" s="1">
        <v>0.70728000000000002</v>
      </c>
      <c r="AP11" s="4">
        <v>0.72463999999999995</v>
      </c>
      <c r="AQ11" s="5">
        <v>0.2044</v>
      </c>
      <c r="AR11" s="1">
        <v>0.63415999999999995</v>
      </c>
      <c r="AS11" s="1">
        <v>0.69816999999999996</v>
      </c>
      <c r="AT11" s="4">
        <v>0.65652999999999995</v>
      </c>
      <c r="AU11" s="1">
        <v>0.61102999999999996</v>
      </c>
      <c r="AV11" s="2">
        <v>0.31336999999999998</v>
      </c>
      <c r="AW11" s="1">
        <v>0.68462000000000001</v>
      </c>
      <c r="AX11" s="1">
        <v>0.85036</v>
      </c>
      <c r="AY11" s="1">
        <v>0.77598</v>
      </c>
      <c r="AZ11" s="4">
        <v>0.80564000000000002</v>
      </c>
      <c r="BA11" s="5">
        <v>0.20455000000000001</v>
      </c>
      <c r="BB11" s="1">
        <v>0.79347000000000001</v>
      </c>
      <c r="BC11" s="1">
        <v>0.85163999999999995</v>
      </c>
      <c r="BD11" s="4">
        <v>0.81235000000000002</v>
      </c>
      <c r="BE11" s="3">
        <v>0.68633</v>
      </c>
    </row>
    <row r="12" spans="1:64" x14ac:dyDescent="0.45">
      <c r="A12" s="44"/>
      <c r="B12" s="44"/>
      <c r="C12" s="44"/>
      <c r="D12" s="44"/>
      <c r="E12" s="44"/>
      <c r="F12" s="53"/>
      <c r="G12" s="44"/>
      <c r="H12" s="2">
        <v>0.15487999999999999</v>
      </c>
      <c r="I12" s="1">
        <v>0.66615000000000002</v>
      </c>
      <c r="J12" s="1">
        <v>0.80118999999999996</v>
      </c>
      <c r="K12" s="1">
        <v>0.79783999999999999</v>
      </c>
      <c r="L12" s="4">
        <v>0.79927000000000004</v>
      </c>
      <c r="M12" s="5">
        <v>0.25701000000000002</v>
      </c>
      <c r="N12" s="1">
        <v>0.61663000000000001</v>
      </c>
      <c r="O12" s="1">
        <v>0.77947</v>
      </c>
      <c r="P12" s="4">
        <v>0.68757999999999997</v>
      </c>
      <c r="Q12" s="3">
        <v>0.73778999999999995</v>
      </c>
      <c r="R12" s="1">
        <v>0.48997000000000002</v>
      </c>
      <c r="S12" s="1">
        <v>0.81516</v>
      </c>
      <c r="T12" s="1">
        <v>0.92044999999999999</v>
      </c>
      <c r="U12" s="1">
        <v>0.87285999999999997</v>
      </c>
      <c r="V12" s="4">
        <v>0.89520999999999995</v>
      </c>
      <c r="W12" s="6">
        <v>0.24304000000000001</v>
      </c>
      <c r="X12" s="1">
        <v>0.83511000000000002</v>
      </c>
      <c r="Y12" s="1">
        <v>0.89759</v>
      </c>
      <c r="Z12" s="4">
        <v>0.86143000000000003</v>
      </c>
      <c r="AA12" s="1">
        <v>0.81206999999999996</v>
      </c>
      <c r="AB12" s="2">
        <v>7.2359999999999994E-2</v>
      </c>
      <c r="AC12" s="1">
        <v>0.43681999999999999</v>
      </c>
      <c r="AD12" s="1">
        <v>0.60096000000000005</v>
      </c>
      <c r="AE12" s="1">
        <v>0.61384000000000005</v>
      </c>
      <c r="AF12" s="4">
        <v>0.60670000000000002</v>
      </c>
      <c r="AG12" s="6">
        <v>0.14710999999999999</v>
      </c>
      <c r="AH12" s="1">
        <v>0.51224000000000003</v>
      </c>
      <c r="AI12" s="1">
        <v>0.41206999999999999</v>
      </c>
      <c r="AJ12" s="4">
        <v>0.45347999999999999</v>
      </c>
      <c r="AK12" s="3">
        <v>0.39999000000000001</v>
      </c>
      <c r="AL12" s="1">
        <v>0.14000000000000001</v>
      </c>
      <c r="AM12" s="1">
        <v>0.57052999999999998</v>
      </c>
      <c r="AN12" s="1">
        <v>0.74858999999999998</v>
      </c>
      <c r="AO12" s="1">
        <v>0.70426</v>
      </c>
      <c r="AP12" s="4">
        <v>0.72311000000000003</v>
      </c>
      <c r="AQ12" s="5">
        <v>0.19439000000000001</v>
      </c>
      <c r="AR12" s="1">
        <v>0.63405999999999996</v>
      </c>
      <c r="AS12" s="1">
        <v>0.69698000000000004</v>
      </c>
      <c r="AT12" s="4">
        <v>0.65561999999999998</v>
      </c>
      <c r="AU12" s="1">
        <v>0.60668999999999995</v>
      </c>
      <c r="AV12" s="2">
        <v>0.32</v>
      </c>
      <c r="AW12" s="1">
        <v>0.68411</v>
      </c>
      <c r="AX12" s="1">
        <v>0.85584000000000005</v>
      </c>
      <c r="AY12" s="1">
        <v>0.77124000000000004</v>
      </c>
      <c r="AZ12" s="4">
        <v>0.80528</v>
      </c>
      <c r="BA12" s="5">
        <v>0.21193000000000001</v>
      </c>
      <c r="BB12" s="1">
        <v>0.80435999999999996</v>
      </c>
      <c r="BC12" s="1">
        <v>0.84367999999999999</v>
      </c>
      <c r="BD12" s="4">
        <v>0.81416999999999995</v>
      </c>
      <c r="BE12" s="3">
        <v>0.68642000000000003</v>
      </c>
    </row>
    <row r="13" spans="1:64" x14ac:dyDescent="0.45">
      <c r="A13" s="44"/>
      <c r="B13" s="44"/>
      <c r="C13" s="44"/>
      <c r="D13" s="44"/>
      <c r="E13" s="44"/>
      <c r="F13" s="53"/>
      <c r="G13" s="44"/>
      <c r="H13" s="2">
        <v>0.15487999999999999</v>
      </c>
      <c r="I13" s="1">
        <v>0.65739999999999998</v>
      </c>
      <c r="J13" s="1">
        <v>0.79593999999999998</v>
      </c>
      <c r="K13" s="1">
        <v>0.79105000000000003</v>
      </c>
      <c r="L13" s="4">
        <v>0.79308000000000001</v>
      </c>
      <c r="M13" s="5">
        <v>0.26097999999999999</v>
      </c>
      <c r="N13" s="1">
        <v>0.59487000000000001</v>
      </c>
      <c r="O13" s="1">
        <v>0.76565000000000005</v>
      </c>
      <c r="P13" s="4">
        <v>0.66813</v>
      </c>
      <c r="Q13" s="3">
        <v>0.73387000000000002</v>
      </c>
      <c r="R13" s="1">
        <v>0.47893000000000002</v>
      </c>
      <c r="S13" s="1">
        <v>0.81547000000000003</v>
      </c>
      <c r="T13" s="1">
        <v>0.89993000000000001</v>
      </c>
      <c r="U13" s="1">
        <v>0.88978000000000002</v>
      </c>
      <c r="V13" s="4">
        <v>0.89320999999999995</v>
      </c>
      <c r="W13" s="6">
        <v>0.26313999999999999</v>
      </c>
      <c r="X13" s="1">
        <v>0.81069000000000002</v>
      </c>
      <c r="Y13" s="1">
        <v>0.87365999999999999</v>
      </c>
      <c r="Z13" s="4">
        <v>0.83599999999999997</v>
      </c>
      <c r="AA13" s="1">
        <v>0.8226</v>
      </c>
      <c r="AB13" s="2">
        <v>7.3999999999999996E-2</v>
      </c>
      <c r="AC13" s="1">
        <v>0.43912000000000001</v>
      </c>
      <c r="AD13" s="1">
        <v>0.59728999999999999</v>
      </c>
      <c r="AE13" s="1">
        <v>0.62234999999999996</v>
      </c>
      <c r="AF13" s="4">
        <v>0.60919999999999996</v>
      </c>
      <c r="AG13" s="6">
        <v>0.13974</v>
      </c>
      <c r="AH13" s="1">
        <v>0.49038999999999999</v>
      </c>
      <c r="AI13" s="1">
        <v>0.44328000000000001</v>
      </c>
      <c r="AJ13" s="4">
        <v>0.46150000000000002</v>
      </c>
      <c r="AK13" s="3">
        <v>0.39595999999999998</v>
      </c>
      <c r="AL13" s="1">
        <v>0.14942</v>
      </c>
      <c r="AM13" s="1">
        <v>0.57892999999999994</v>
      </c>
      <c r="AN13" s="1">
        <v>0.75083999999999995</v>
      </c>
      <c r="AO13" s="1">
        <v>0.71486000000000005</v>
      </c>
      <c r="AP13" s="4">
        <v>0.72997000000000001</v>
      </c>
      <c r="AQ13" s="5">
        <v>0.20644000000000001</v>
      </c>
      <c r="AR13" s="1">
        <v>0.63546999999999998</v>
      </c>
      <c r="AS13" s="1">
        <v>0.69984999999999997</v>
      </c>
      <c r="AT13" s="4">
        <v>0.65717999999999999</v>
      </c>
      <c r="AU13" s="1">
        <v>0.62038000000000004</v>
      </c>
      <c r="AV13" s="2">
        <v>0.35</v>
      </c>
      <c r="AW13" s="1">
        <v>0.69650999999999996</v>
      </c>
      <c r="AX13" s="1">
        <v>0.85851999999999995</v>
      </c>
      <c r="AY13" s="1">
        <v>0.78393999999999997</v>
      </c>
      <c r="AZ13" s="4">
        <v>0.81418000000000001</v>
      </c>
      <c r="BA13" s="5">
        <v>0.22492999999999999</v>
      </c>
      <c r="BB13" s="1">
        <v>0.79488000000000003</v>
      </c>
      <c r="BC13" s="1">
        <v>0.84135000000000004</v>
      </c>
      <c r="BD13" s="4">
        <v>0.80857000000000001</v>
      </c>
      <c r="BE13" s="3">
        <v>0.69665999999999995</v>
      </c>
    </row>
    <row r="14" spans="1:64" s="16" customFormat="1" x14ac:dyDescent="0.45">
      <c r="A14" s="61" t="s">
        <v>89</v>
      </c>
      <c r="B14" s="51" t="s">
        <v>65</v>
      </c>
      <c r="C14" s="49" t="s">
        <v>22</v>
      </c>
      <c r="D14" s="49" t="s">
        <v>23</v>
      </c>
      <c r="E14" s="51" t="s">
        <v>19</v>
      </c>
      <c r="F14" s="52" t="s">
        <v>25</v>
      </c>
      <c r="G14" s="49" t="s">
        <v>55</v>
      </c>
      <c r="H14" s="17">
        <v>0.20909</v>
      </c>
      <c r="I14" s="16">
        <v>0.74177000000000004</v>
      </c>
      <c r="J14" s="16">
        <v>0.86702000000000001</v>
      </c>
      <c r="K14" s="16">
        <v>0.83645000000000003</v>
      </c>
      <c r="L14" s="18">
        <v>0.85124</v>
      </c>
      <c r="M14" s="19">
        <v>0.29255999999999999</v>
      </c>
      <c r="N14" s="16">
        <v>0.71084999999999998</v>
      </c>
      <c r="O14" s="16">
        <v>0.80200000000000005</v>
      </c>
      <c r="P14" s="18">
        <v>0.75295000000000001</v>
      </c>
      <c r="Q14" s="20">
        <v>0.78947000000000001</v>
      </c>
      <c r="R14" s="16">
        <v>0.39396999999999999</v>
      </c>
      <c r="S14" s="16">
        <v>0.82484000000000002</v>
      </c>
      <c r="T14" s="16">
        <v>0.94133999999999995</v>
      </c>
      <c r="U14" s="16">
        <v>0.86960000000000004</v>
      </c>
      <c r="V14" s="18">
        <v>0.90295999999999998</v>
      </c>
      <c r="W14" s="21">
        <v>0.38967000000000002</v>
      </c>
      <c r="X14" s="16">
        <v>0.86387999999999998</v>
      </c>
      <c r="Y14" s="16">
        <v>0.90003</v>
      </c>
      <c r="Z14" s="18">
        <v>0.88022999999999996</v>
      </c>
      <c r="AA14" s="16">
        <v>0.82145999999999997</v>
      </c>
      <c r="AB14" s="17">
        <v>6.9980000000000001E-2</v>
      </c>
      <c r="AC14" s="16">
        <v>0.34998000000000001</v>
      </c>
      <c r="AD14" s="16">
        <v>0.55632999999999999</v>
      </c>
      <c r="AE14" s="16">
        <v>0.48304000000000002</v>
      </c>
      <c r="AF14" s="18">
        <v>0.51605000000000001</v>
      </c>
      <c r="AG14" s="21">
        <v>0.18223</v>
      </c>
      <c r="AH14" s="16">
        <v>0.48641000000000001</v>
      </c>
      <c r="AI14" s="16">
        <v>0.37295</v>
      </c>
      <c r="AJ14" s="18">
        <v>0.41365000000000002</v>
      </c>
      <c r="AK14" s="20">
        <v>0.35915000000000002</v>
      </c>
      <c r="AL14" s="16">
        <v>0.15751999999999999</v>
      </c>
      <c r="AM14" s="16">
        <v>0.48903000000000002</v>
      </c>
      <c r="AN14" s="16">
        <v>0.74643000000000004</v>
      </c>
      <c r="AO14" s="16">
        <v>0.58416999999999997</v>
      </c>
      <c r="AP14" s="18">
        <v>0.65137</v>
      </c>
      <c r="AQ14" s="19">
        <v>0.27727000000000002</v>
      </c>
      <c r="AR14" s="16">
        <v>0.63410999999999995</v>
      </c>
      <c r="AS14" s="16">
        <v>0.62319999999999998</v>
      </c>
      <c r="AT14" s="18">
        <v>0.61724999999999997</v>
      </c>
      <c r="AU14" s="16">
        <v>0.55837000000000003</v>
      </c>
      <c r="AV14" s="17">
        <v>0.27901999999999999</v>
      </c>
      <c r="AW14" s="16">
        <v>0.56261000000000005</v>
      </c>
      <c r="AX14" s="16">
        <v>0.81362000000000001</v>
      </c>
      <c r="AY14" s="16">
        <v>0.64459</v>
      </c>
      <c r="AZ14" s="18">
        <v>0.70804999999999996</v>
      </c>
      <c r="BA14" s="19">
        <v>0.30454999999999999</v>
      </c>
      <c r="BB14" s="16">
        <v>0.75797999999999999</v>
      </c>
      <c r="BC14" s="16">
        <v>0.76019000000000003</v>
      </c>
      <c r="BD14" s="18">
        <v>0.74053999999999998</v>
      </c>
      <c r="BE14" s="20">
        <v>0.60648999999999997</v>
      </c>
    </row>
    <row r="15" spans="1:64" x14ac:dyDescent="0.45">
      <c r="A15" s="59"/>
      <c r="B15" s="44"/>
      <c r="C15" s="44"/>
      <c r="D15" s="44"/>
      <c r="E15" s="44"/>
      <c r="F15" s="53"/>
      <c r="G15" s="44"/>
      <c r="H15" s="2">
        <v>0.18</v>
      </c>
      <c r="I15" s="1">
        <v>0.74646000000000001</v>
      </c>
      <c r="J15" s="1">
        <v>0.86319999999999997</v>
      </c>
      <c r="K15" s="1">
        <v>0.84641999999999995</v>
      </c>
      <c r="L15" s="4">
        <v>0.85436999999999996</v>
      </c>
      <c r="M15" s="5">
        <v>0.23802000000000001</v>
      </c>
      <c r="N15" s="1">
        <v>0.71340000000000003</v>
      </c>
      <c r="O15" s="1">
        <v>0.82167999999999997</v>
      </c>
      <c r="P15" s="4">
        <v>0.76317999999999997</v>
      </c>
      <c r="Q15" s="3">
        <v>0.78939999999999999</v>
      </c>
      <c r="R15" s="1">
        <v>0.49109000000000003</v>
      </c>
      <c r="S15" s="1">
        <v>0.83950000000000002</v>
      </c>
      <c r="T15" s="1">
        <v>0.94801999999999997</v>
      </c>
      <c r="U15" s="1">
        <v>0.87983</v>
      </c>
      <c r="V15" s="4">
        <v>0.91180000000000005</v>
      </c>
      <c r="W15" s="6">
        <v>0.27832000000000001</v>
      </c>
      <c r="X15" s="1">
        <v>0.85872999999999999</v>
      </c>
      <c r="Y15" s="1">
        <v>0.89161999999999997</v>
      </c>
      <c r="Z15" s="4">
        <v>0.87383</v>
      </c>
      <c r="AA15" s="1">
        <v>0.83665999999999996</v>
      </c>
      <c r="AB15" s="2">
        <v>5.6000000000000001E-2</v>
      </c>
      <c r="AC15" s="1">
        <v>0.39338000000000001</v>
      </c>
      <c r="AD15" s="1">
        <v>0.55623</v>
      </c>
      <c r="AE15" s="1">
        <v>0.57328000000000001</v>
      </c>
      <c r="AF15" s="4">
        <v>0.56367</v>
      </c>
      <c r="AG15" s="6">
        <v>0.17757000000000001</v>
      </c>
      <c r="AH15" s="1">
        <v>0.48557</v>
      </c>
      <c r="AI15" s="1">
        <v>0.41508</v>
      </c>
      <c r="AJ15" s="4">
        <v>0.44018000000000002</v>
      </c>
      <c r="AK15" s="3">
        <v>0.38188</v>
      </c>
      <c r="AL15" s="1">
        <v>0.13222</v>
      </c>
      <c r="AM15" s="1">
        <v>0.54781999999999997</v>
      </c>
      <c r="AN15" s="1">
        <v>0.74755000000000005</v>
      </c>
      <c r="AO15" s="1">
        <v>0.67135999999999996</v>
      </c>
      <c r="AP15" s="4">
        <v>0.70337000000000005</v>
      </c>
      <c r="AQ15" s="5">
        <v>0.27198</v>
      </c>
      <c r="AR15" s="1">
        <v>0.64119000000000004</v>
      </c>
      <c r="AS15" s="1">
        <v>0.66596</v>
      </c>
      <c r="AT15" s="4">
        <v>0.64273999999999998</v>
      </c>
      <c r="AU15" s="1">
        <v>0.60341</v>
      </c>
      <c r="AV15" s="2">
        <v>0.33363999999999999</v>
      </c>
      <c r="AW15" s="1">
        <v>0.61109000000000002</v>
      </c>
      <c r="AX15" s="1">
        <v>0.82050000000000001</v>
      </c>
      <c r="AY15" s="1">
        <v>0.70233000000000001</v>
      </c>
      <c r="AZ15" s="4">
        <v>0.74692999999999998</v>
      </c>
      <c r="BA15" s="5">
        <v>0.24545</v>
      </c>
      <c r="BB15" s="1">
        <v>0.72768999999999995</v>
      </c>
      <c r="BC15" s="1">
        <v>0.77500000000000002</v>
      </c>
      <c r="BD15" s="4">
        <v>0.73490999999999995</v>
      </c>
      <c r="BE15" s="3">
        <v>0.64149</v>
      </c>
    </row>
    <row r="16" spans="1:64" s="24" customFormat="1" x14ac:dyDescent="0.45">
      <c r="A16" s="60"/>
      <c r="B16" s="50"/>
      <c r="C16" s="50"/>
      <c r="D16" s="50"/>
      <c r="E16" s="50"/>
      <c r="F16" s="54"/>
      <c r="G16" s="50"/>
      <c r="H16" s="26">
        <v>0.14893000000000001</v>
      </c>
      <c r="I16" s="24">
        <v>0.76990999999999998</v>
      </c>
      <c r="J16" s="24">
        <v>0.86894000000000005</v>
      </c>
      <c r="K16" s="24">
        <v>0.87092999999999998</v>
      </c>
      <c r="L16" s="27">
        <v>0.86967000000000005</v>
      </c>
      <c r="M16" s="28">
        <v>0.24793000000000001</v>
      </c>
      <c r="N16" s="24">
        <v>0.73763000000000001</v>
      </c>
      <c r="O16" s="24">
        <v>0.81845999999999997</v>
      </c>
      <c r="P16" s="27">
        <v>0.77546000000000004</v>
      </c>
      <c r="Q16" s="25">
        <v>0.79681000000000002</v>
      </c>
      <c r="R16" s="24">
        <v>0.41397</v>
      </c>
      <c r="S16" s="24">
        <v>0.84946999999999995</v>
      </c>
      <c r="T16" s="24">
        <v>0.95750999999999997</v>
      </c>
      <c r="U16" s="24">
        <v>0.88246999999999998</v>
      </c>
      <c r="V16" s="27">
        <v>0.91778000000000004</v>
      </c>
      <c r="W16" s="29">
        <v>0.3</v>
      </c>
      <c r="X16" s="24">
        <v>0.87094000000000005</v>
      </c>
      <c r="Y16" s="24">
        <v>0.89027000000000001</v>
      </c>
      <c r="Z16" s="27">
        <v>0.87985999999999998</v>
      </c>
      <c r="AA16" s="24">
        <v>0.83245999999999998</v>
      </c>
      <c r="AB16" s="26">
        <v>5.5730000000000002E-2</v>
      </c>
      <c r="AC16" s="24">
        <v>0.41927999999999999</v>
      </c>
      <c r="AD16" s="24">
        <v>0.61024</v>
      </c>
      <c r="AE16" s="24">
        <v>0.57228000000000001</v>
      </c>
      <c r="AF16" s="27">
        <v>0.58933999999999997</v>
      </c>
      <c r="AG16" s="29">
        <v>0.16258</v>
      </c>
      <c r="AH16" s="24">
        <v>0.52232000000000001</v>
      </c>
      <c r="AI16" s="24">
        <v>0.41472999999999999</v>
      </c>
      <c r="AJ16" s="27">
        <v>0.45550000000000002</v>
      </c>
      <c r="AK16" s="25">
        <v>0.38462000000000002</v>
      </c>
      <c r="AL16" s="24">
        <v>0.11090999999999999</v>
      </c>
      <c r="AM16" s="24">
        <v>0.58226999999999995</v>
      </c>
      <c r="AN16" s="24">
        <v>0.7742</v>
      </c>
      <c r="AO16" s="24">
        <v>0.69838</v>
      </c>
      <c r="AP16" s="27">
        <v>0.73101000000000005</v>
      </c>
      <c r="AQ16" s="28">
        <v>0.25083</v>
      </c>
      <c r="AR16" s="24">
        <v>0.66534000000000004</v>
      </c>
      <c r="AS16" s="24">
        <v>0.68047999999999997</v>
      </c>
      <c r="AT16" s="27">
        <v>0.66351000000000004</v>
      </c>
      <c r="AU16" s="24">
        <v>0.60816999999999999</v>
      </c>
      <c r="AV16" s="26">
        <v>0.25247999999999998</v>
      </c>
      <c r="AW16" s="24">
        <v>0.67276000000000002</v>
      </c>
      <c r="AX16" s="24">
        <v>0.87509999999999999</v>
      </c>
      <c r="AY16" s="24">
        <v>0.74468000000000001</v>
      </c>
      <c r="AZ16" s="27">
        <v>0.79429000000000005</v>
      </c>
      <c r="BA16" s="28">
        <v>0.24984999999999999</v>
      </c>
      <c r="BB16" s="24">
        <v>0.81613999999999998</v>
      </c>
      <c r="BC16" s="24">
        <v>0.77602000000000004</v>
      </c>
      <c r="BD16" s="27">
        <v>0.78112000000000004</v>
      </c>
      <c r="BE16" s="25">
        <v>0.67842000000000002</v>
      </c>
    </row>
    <row r="17" spans="1:57" s="16" customFormat="1" ht="14" customHeight="1" x14ac:dyDescent="0.45">
      <c r="A17" s="51" t="s">
        <v>92</v>
      </c>
      <c r="B17" s="51" t="s">
        <v>65</v>
      </c>
      <c r="C17" s="49" t="s">
        <v>22</v>
      </c>
      <c r="D17" s="49" t="s">
        <v>23</v>
      </c>
      <c r="E17" s="51" t="s">
        <v>19</v>
      </c>
      <c r="F17" s="55" t="s">
        <v>90</v>
      </c>
      <c r="G17" s="51" t="s">
        <v>56</v>
      </c>
      <c r="H17" s="17">
        <v>0.13438</v>
      </c>
      <c r="I17" s="16">
        <v>0.75436000000000003</v>
      </c>
      <c r="J17" s="16">
        <v>0.88012999999999997</v>
      </c>
      <c r="K17" s="16">
        <v>0.84062999999999999</v>
      </c>
      <c r="L17" s="18">
        <v>0.85934999999999995</v>
      </c>
      <c r="M17" s="19">
        <v>0.25469999999999998</v>
      </c>
      <c r="N17" s="16">
        <v>0.73626999999999998</v>
      </c>
      <c r="O17" s="16">
        <v>0.79820999999999998</v>
      </c>
      <c r="P17" s="18">
        <v>0.76544999999999996</v>
      </c>
      <c r="Q17" s="20">
        <v>0.78739000000000003</v>
      </c>
      <c r="R17" s="16" t="s">
        <v>93</v>
      </c>
      <c r="S17" s="16">
        <v>0.8367</v>
      </c>
      <c r="T17" s="16">
        <v>0.95235999999999998</v>
      </c>
      <c r="U17" s="16">
        <v>0.87285999999999997</v>
      </c>
      <c r="V17" s="18">
        <v>0.91010999999999997</v>
      </c>
      <c r="W17" s="21">
        <v>0.31755</v>
      </c>
      <c r="X17" s="16">
        <v>0.86284000000000005</v>
      </c>
      <c r="Y17" s="16">
        <v>0.88273999999999997</v>
      </c>
      <c r="Z17" s="18">
        <v>0.87136999999999998</v>
      </c>
      <c r="AA17" s="16" t="s">
        <v>94</v>
      </c>
      <c r="AB17" s="17">
        <v>8.5599999999999996E-2</v>
      </c>
      <c r="AC17" s="16">
        <v>0.43752000000000002</v>
      </c>
      <c r="AD17" s="16">
        <v>0.61875000000000002</v>
      </c>
      <c r="AE17" s="16">
        <v>0.59721999999999997</v>
      </c>
      <c r="AF17" s="18">
        <v>0.60719000000000001</v>
      </c>
      <c r="AG17" s="21">
        <v>0.18636</v>
      </c>
      <c r="AH17" s="16">
        <v>0.54213999999999996</v>
      </c>
      <c r="AI17" s="16">
        <v>0.42380000000000001</v>
      </c>
      <c r="AJ17" s="18">
        <v>0.47173999999999999</v>
      </c>
      <c r="AK17" s="20">
        <v>0.39731</v>
      </c>
      <c r="AL17" s="16">
        <v>0.20909</v>
      </c>
      <c r="AM17" s="16">
        <v>0.57601999999999998</v>
      </c>
      <c r="AN17" s="16">
        <v>0.77422000000000002</v>
      </c>
      <c r="AO17" s="16">
        <v>0.69454000000000005</v>
      </c>
      <c r="AP17" s="18">
        <v>0.72492000000000001</v>
      </c>
      <c r="AQ17" s="19">
        <v>0.23222999999999999</v>
      </c>
      <c r="AR17" s="16">
        <v>0.66786999999999996</v>
      </c>
      <c r="AS17" s="16">
        <v>0.68088000000000004</v>
      </c>
      <c r="AT17" s="18">
        <v>0.66761000000000004</v>
      </c>
      <c r="AU17" s="16">
        <v>0.62139999999999995</v>
      </c>
      <c r="AV17" s="17">
        <v>0.72609999999999997</v>
      </c>
      <c r="AW17" s="16">
        <v>0.63085999999999998</v>
      </c>
      <c r="AX17" s="16">
        <v>0.85460999999999998</v>
      </c>
      <c r="AY17" s="16">
        <v>0.70359000000000005</v>
      </c>
      <c r="AZ17" s="18">
        <v>0.75985999999999998</v>
      </c>
      <c r="BA17" s="19">
        <v>0.13531000000000001</v>
      </c>
      <c r="BB17" s="16">
        <v>0.72009999999999996</v>
      </c>
      <c r="BC17" s="16">
        <v>0.76197999999999999</v>
      </c>
      <c r="BD17" s="18">
        <v>0.72850999999999999</v>
      </c>
      <c r="BE17" s="20">
        <v>0.65598000000000001</v>
      </c>
    </row>
    <row r="18" spans="1:57" x14ac:dyDescent="0.45">
      <c r="A18" s="44"/>
      <c r="B18" s="44"/>
      <c r="C18" s="45"/>
      <c r="D18" s="45"/>
      <c r="E18" s="44"/>
      <c r="F18" s="53"/>
      <c r="G18" s="44"/>
      <c r="H18" s="2">
        <v>0.12056</v>
      </c>
      <c r="I18" s="1">
        <v>0.73865999999999998</v>
      </c>
      <c r="J18" s="1">
        <v>0.85536999999999996</v>
      </c>
      <c r="K18" s="1">
        <v>0.84391000000000005</v>
      </c>
      <c r="L18" s="4">
        <v>0.84923000000000004</v>
      </c>
      <c r="M18" s="5">
        <v>0.26280999999999999</v>
      </c>
      <c r="N18" s="1">
        <v>0.72067999999999999</v>
      </c>
      <c r="O18" s="1">
        <v>0.78113999999999995</v>
      </c>
      <c r="P18" s="4">
        <v>0.74960000000000004</v>
      </c>
      <c r="Q18" s="3">
        <v>0.80150999999999994</v>
      </c>
      <c r="R18" s="1">
        <v>0.625</v>
      </c>
      <c r="S18" s="1">
        <v>0.84365000000000001</v>
      </c>
      <c r="T18" s="1">
        <v>0.95689000000000002</v>
      </c>
      <c r="U18" s="1">
        <v>0.87661</v>
      </c>
      <c r="V18" s="4">
        <v>0.91429000000000005</v>
      </c>
      <c r="W18" s="6">
        <v>0.23394000000000001</v>
      </c>
      <c r="X18" s="1">
        <v>0.87333000000000005</v>
      </c>
      <c r="Y18" s="1">
        <v>0.91481999999999997</v>
      </c>
      <c r="Z18" s="4">
        <v>0.89242999999999995</v>
      </c>
      <c r="AA18" s="1">
        <v>0.83018000000000003</v>
      </c>
      <c r="AB18" s="2">
        <v>8.0839999999999995E-2</v>
      </c>
      <c r="AC18" s="1">
        <v>0.43437999999999999</v>
      </c>
      <c r="AD18" s="1">
        <v>0.60197000000000001</v>
      </c>
      <c r="AE18" s="1">
        <v>0.60857000000000006</v>
      </c>
      <c r="AF18" s="4">
        <v>0.60443000000000002</v>
      </c>
      <c r="AG18" s="6">
        <v>0.19120999999999999</v>
      </c>
      <c r="AH18" s="1">
        <v>0.51634999999999998</v>
      </c>
      <c r="AI18" s="1">
        <v>0.435</v>
      </c>
      <c r="AJ18" s="4">
        <v>0.46967999999999999</v>
      </c>
      <c r="AK18" s="3">
        <v>0.39341999999999999</v>
      </c>
      <c r="AL18" s="1">
        <v>0.21528</v>
      </c>
      <c r="AM18" s="1">
        <v>0.57867999999999997</v>
      </c>
      <c r="AN18" s="1">
        <v>0.77619000000000005</v>
      </c>
      <c r="AO18" s="1">
        <v>0.69686999999999999</v>
      </c>
      <c r="AP18" s="4">
        <v>0.72753999999999996</v>
      </c>
      <c r="AQ18" s="5">
        <v>0.23222999999999999</v>
      </c>
      <c r="AR18" s="1">
        <v>0.66834000000000005</v>
      </c>
      <c r="AS18" s="1">
        <v>0.69179000000000002</v>
      </c>
      <c r="AT18" s="4">
        <v>0.67195000000000005</v>
      </c>
      <c r="AU18" s="1">
        <v>0.61424999999999996</v>
      </c>
      <c r="AV18" s="2">
        <v>0.72470999999999997</v>
      </c>
      <c r="AW18" s="1">
        <v>0.63507999999999998</v>
      </c>
      <c r="AX18" s="1">
        <v>0.84809000000000001</v>
      </c>
      <c r="AY18" s="1">
        <v>0.71109999999999995</v>
      </c>
      <c r="AZ18" s="4">
        <v>0.76324999999999998</v>
      </c>
      <c r="BA18" s="5">
        <v>0.14602000000000001</v>
      </c>
      <c r="BB18" s="1">
        <v>0.71508000000000005</v>
      </c>
      <c r="BC18" s="1">
        <v>0.77890000000000004</v>
      </c>
      <c r="BD18" s="4">
        <v>0.73558000000000001</v>
      </c>
      <c r="BE18" s="3">
        <v>0.65986999999999996</v>
      </c>
    </row>
    <row r="19" spans="1:57" s="24" customFormat="1" x14ac:dyDescent="0.45">
      <c r="A19" s="50"/>
      <c r="B19" s="50"/>
      <c r="C19" s="58"/>
      <c r="D19" s="58"/>
      <c r="E19" s="50"/>
      <c r="F19" s="54"/>
      <c r="G19" s="50"/>
      <c r="H19" s="26">
        <v>0.14255000000000001</v>
      </c>
      <c r="I19" s="24">
        <v>0.74814000000000003</v>
      </c>
      <c r="J19" s="24">
        <v>0.87522999999999995</v>
      </c>
      <c r="K19" s="24">
        <v>0.83706000000000003</v>
      </c>
      <c r="L19" s="27">
        <v>0.85512999999999995</v>
      </c>
      <c r="M19" s="28">
        <v>0.24925</v>
      </c>
      <c r="N19" s="24">
        <v>0.73982000000000003</v>
      </c>
      <c r="O19" s="24">
        <v>0.79830000000000001</v>
      </c>
      <c r="P19" s="27">
        <v>0.76737999999999995</v>
      </c>
      <c r="Q19" s="25">
        <v>0.79695000000000005</v>
      </c>
      <c r="R19" s="24">
        <v>0.62234999999999996</v>
      </c>
      <c r="S19" s="24">
        <v>0.84687000000000001</v>
      </c>
      <c r="T19" s="24">
        <v>0.95350999999999997</v>
      </c>
      <c r="U19" s="24">
        <v>0.88275999999999999</v>
      </c>
      <c r="V19" s="27">
        <v>0.91605999999999999</v>
      </c>
      <c r="W19" s="29">
        <v>0.27455000000000002</v>
      </c>
      <c r="X19" s="24">
        <v>0.86717</v>
      </c>
      <c r="Y19" s="24">
        <v>0.90280000000000005</v>
      </c>
      <c r="Z19" s="27">
        <v>0.88353999999999999</v>
      </c>
      <c r="AA19" s="24">
        <v>0.83943999999999996</v>
      </c>
      <c r="AB19" s="26">
        <v>7.8909999999999994E-2</v>
      </c>
      <c r="AC19" s="24">
        <v>0.43513000000000002</v>
      </c>
      <c r="AD19" s="24">
        <v>0.60672999999999999</v>
      </c>
      <c r="AE19" s="24">
        <v>0.60470000000000002</v>
      </c>
      <c r="AF19" s="27">
        <v>0.60528000000000004</v>
      </c>
      <c r="AG19" s="29">
        <v>0.16536000000000001</v>
      </c>
      <c r="AH19" s="24">
        <v>0.51561999999999997</v>
      </c>
      <c r="AI19" s="24">
        <v>0.44324000000000002</v>
      </c>
      <c r="AJ19" s="27">
        <v>0.47308</v>
      </c>
      <c r="AK19" s="25">
        <v>0.39304</v>
      </c>
      <c r="AL19" s="24">
        <v>0.19818</v>
      </c>
      <c r="AM19" s="24">
        <v>0.58121999999999996</v>
      </c>
      <c r="AN19" s="24">
        <v>0.77312999999999998</v>
      </c>
      <c r="AO19" s="24">
        <v>0.70133999999999996</v>
      </c>
      <c r="AP19" s="27">
        <v>0.72960000000000003</v>
      </c>
      <c r="AQ19" s="28">
        <v>0.23561000000000001</v>
      </c>
      <c r="AR19" s="24">
        <v>0.68144000000000005</v>
      </c>
      <c r="AS19" s="24">
        <v>0.69842000000000004</v>
      </c>
      <c r="AT19" s="27">
        <v>0.68240000000000001</v>
      </c>
      <c r="AU19" s="24">
        <v>0.62021999999999999</v>
      </c>
      <c r="AV19" s="26">
        <v>0.66334000000000004</v>
      </c>
      <c r="AW19" s="24">
        <v>0.65368999999999999</v>
      </c>
      <c r="AX19" s="24">
        <v>0.85995999999999995</v>
      </c>
      <c r="AY19" s="24">
        <v>0.72711000000000003</v>
      </c>
      <c r="AZ19" s="27">
        <v>0.77727000000000002</v>
      </c>
      <c r="BA19" s="28">
        <v>0.14151</v>
      </c>
      <c r="BB19" s="24">
        <v>0.74287999999999998</v>
      </c>
      <c r="BC19" s="24">
        <v>0.80035000000000001</v>
      </c>
      <c r="BD19" s="27">
        <v>0.75971999999999995</v>
      </c>
      <c r="BE19" s="25">
        <v>0.67235</v>
      </c>
    </row>
    <row r="20" spans="1:57" s="16" customFormat="1" x14ac:dyDescent="0.45">
      <c r="A20" s="61" t="s">
        <v>51</v>
      </c>
      <c r="B20" s="55" t="s">
        <v>66</v>
      </c>
      <c r="C20" s="49" t="s">
        <v>22</v>
      </c>
      <c r="D20" s="49" t="s">
        <v>23</v>
      </c>
      <c r="E20" s="51" t="s">
        <v>19</v>
      </c>
      <c r="F20" s="49" t="s">
        <v>20</v>
      </c>
      <c r="G20" s="49" t="s">
        <v>55</v>
      </c>
      <c r="H20" s="17">
        <v>0.18376000000000001</v>
      </c>
      <c r="I20" s="16">
        <v>0.65468000000000004</v>
      </c>
      <c r="J20" s="16">
        <v>0.80189999999999995</v>
      </c>
      <c r="K20" s="16">
        <v>0.78068000000000004</v>
      </c>
      <c r="L20" s="18">
        <v>0.79103999999999997</v>
      </c>
      <c r="M20" s="19">
        <v>0.33088000000000001</v>
      </c>
      <c r="N20" s="16">
        <v>0.57104999999999995</v>
      </c>
      <c r="O20" s="16">
        <v>0.67481000000000002</v>
      </c>
      <c r="P20" s="18">
        <v>0.61785000000000001</v>
      </c>
      <c r="Q20" s="20">
        <v>0.75558999999999998</v>
      </c>
      <c r="R20" s="16">
        <v>0.48898999999999998</v>
      </c>
      <c r="S20" s="16">
        <v>0.79501999999999995</v>
      </c>
      <c r="T20" s="16">
        <v>0.90263000000000004</v>
      </c>
      <c r="U20" s="16">
        <v>0.86163999999999996</v>
      </c>
      <c r="V20" s="18">
        <v>0.88046000000000002</v>
      </c>
      <c r="W20" s="21">
        <v>0.31983</v>
      </c>
      <c r="X20" s="16">
        <v>0.80715999999999999</v>
      </c>
      <c r="Y20" s="16">
        <v>0.87904000000000004</v>
      </c>
      <c r="Z20" s="18">
        <v>0.83843999999999996</v>
      </c>
      <c r="AA20" s="16">
        <v>0.81081000000000003</v>
      </c>
      <c r="AB20" s="17">
        <v>6.8470000000000003E-2</v>
      </c>
      <c r="AC20" s="16">
        <v>0.45284000000000002</v>
      </c>
      <c r="AD20" s="16">
        <v>0.60035000000000005</v>
      </c>
      <c r="AE20" s="16">
        <v>0.64839000000000002</v>
      </c>
      <c r="AF20" s="18">
        <v>0.62285000000000001</v>
      </c>
      <c r="AG20" s="21">
        <v>0.16886000000000001</v>
      </c>
      <c r="AH20" s="16">
        <v>0.48836000000000002</v>
      </c>
      <c r="AI20" s="16">
        <v>0.44616</v>
      </c>
      <c r="AJ20" s="18">
        <v>0.46137</v>
      </c>
      <c r="AK20" s="20">
        <v>0.39634000000000003</v>
      </c>
      <c r="AL20" s="16">
        <v>0.16181999999999999</v>
      </c>
      <c r="AM20" s="16">
        <v>0.58943999999999996</v>
      </c>
      <c r="AN20" s="16">
        <v>0.76049</v>
      </c>
      <c r="AO20" s="16">
        <v>0.72338000000000002</v>
      </c>
      <c r="AP20" s="18">
        <v>0.73831000000000002</v>
      </c>
      <c r="AQ20" s="19">
        <v>0.25455</v>
      </c>
      <c r="AR20" s="16">
        <v>0.65071000000000001</v>
      </c>
      <c r="AS20" s="16">
        <v>0.70960999999999996</v>
      </c>
      <c r="AT20" s="18">
        <v>0.67171999999999998</v>
      </c>
      <c r="AU20" s="16">
        <v>0.62444999999999995</v>
      </c>
      <c r="AV20" s="17">
        <v>0.35091</v>
      </c>
      <c r="AW20" s="16">
        <v>0.68332999999999999</v>
      </c>
      <c r="AX20" s="16">
        <v>0.85321999999999998</v>
      </c>
      <c r="AY20" s="16">
        <v>0.77073000000000003</v>
      </c>
      <c r="AZ20" s="18">
        <v>0.80406999999999995</v>
      </c>
      <c r="BA20" s="19">
        <v>0.29766999999999999</v>
      </c>
      <c r="BB20" s="16">
        <v>0.79923</v>
      </c>
      <c r="BC20" s="16">
        <v>0.82804999999999995</v>
      </c>
      <c r="BD20" s="18">
        <v>0.80476000000000003</v>
      </c>
      <c r="BE20" s="20">
        <v>0.69589000000000001</v>
      </c>
    </row>
    <row r="21" spans="1:57" x14ac:dyDescent="0.45">
      <c r="A21" s="59"/>
      <c r="B21" s="53"/>
      <c r="C21" s="44"/>
      <c r="D21" s="44"/>
      <c r="E21" s="44"/>
      <c r="F21" s="44"/>
      <c r="G21" s="44"/>
      <c r="H21" s="2">
        <v>0.18496000000000001</v>
      </c>
      <c r="I21" s="1">
        <v>0.63048999999999999</v>
      </c>
      <c r="J21" s="1">
        <v>0.78471999999999997</v>
      </c>
      <c r="K21" s="1">
        <v>0.76178000000000001</v>
      </c>
      <c r="L21" s="4">
        <v>0.77285999999999999</v>
      </c>
      <c r="M21" s="5">
        <v>0.33983000000000002</v>
      </c>
      <c r="N21" s="1">
        <v>0.56476000000000004</v>
      </c>
      <c r="O21" s="1">
        <v>0.66098000000000001</v>
      </c>
      <c r="P21" s="4">
        <v>0.60868</v>
      </c>
      <c r="Q21" s="3">
        <v>0.75419999999999998</v>
      </c>
      <c r="R21" s="1">
        <v>0.48979</v>
      </c>
      <c r="S21" s="1">
        <v>0.77985000000000004</v>
      </c>
      <c r="T21" s="1">
        <v>0.88075000000000003</v>
      </c>
      <c r="U21" s="1">
        <v>0.85862000000000005</v>
      </c>
      <c r="V21" s="4">
        <v>0.86758000000000002</v>
      </c>
      <c r="W21" s="6">
        <v>0.36</v>
      </c>
      <c r="X21" s="1">
        <v>0.77461000000000002</v>
      </c>
      <c r="Y21" s="1">
        <v>0.85094999999999998</v>
      </c>
      <c r="Z21" s="4">
        <v>0.80503999999999998</v>
      </c>
      <c r="AA21" s="1">
        <v>0.81296999999999997</v>
      </c>
      <c r="AB21" s="2">
        <v>8.9760000000000006E-2</v>
      </c>
      <c r="AC21" s="1">
        <v>0.45096999999999998</v>
      </c>
      <c r="AD21" s="1">
        <v>0.63915</v>
      </c>
      <c r="AE21" s="1">
        <v>0.60433999999999999</v>
      </c>
      <c r="AF21" s="4">
        <v>0.62080999999999997</v>
      </c>
      <c r="AG21" s="6">
        <v>0.17629</v>
      </c>
      <c r="AH21" s="1">
        <v>0.54227999999999998</v>
      </c>
      <c r="AI21" s="1">
        <v>0.42333999999999999</v>
      </c>
      <c r="AJ21" s="4">
        <v>0.46849000000000002</v>
      </c>
      <c r="AK21" s="3">
        <v>0.39194000000000001</v>
      </c>
      <c r="AL21" s="1">
        <v>0.16008</v>
      </c>
      <c r="AM21" s="1">
        <v>0.58457999999999999</v>
      </c>
      <c r="AN21" s="1">
        <v>0.75161999999999995</v>
      </c>
      <c r="AO21" s="1">
        <v>0.72423000000000004</v>
      </c>
      <c r="AP21" s="4">
        <v>0.73448999999999998</v>
      </c>
      <c r="AQ21" s="5">
        <v>0.24453</v>
      </c>
      <c r="AR21" s="1">
        <v>0.62765000000000004</v>
      </c>
      <c r="AS21" s="1">
        <v>0.69962999999999997</v>
      </c>
      <c r="AT21" s="4">
        <v>0.65405999999999997</v>
      </c>
      <c r="AU21" s="1">
        <v>0.62475999999999998</v>
      </c>
      <c r="AV21" s="2">
        <v>0.35943000000000003</v>
      </c>
      <c r="AW21" s="1">
        <v>0.67695000000000005</v>
      </c>
      <c r="AX21" s="1">
        <v>0.84455000000000002</v>
      </c>
      <c r="AY21" s="1">
        <v>0.77068000000000003</v>
      </c>
      <c r="AZ21" s="4">
        <v>0.79903999999999997</v>
      </c>
      <c r="BA21" s="5">
        <v>0.25046000000000002</v>
      </c>
      <c r="BB21" s="1">
        <v>0.77217999999999998</v>
      </c>
      <c r="BC21" s="1">
        <v>0.83218000000000003</v>
      </c>
      <c r="BD21" s="4">
        <v>0.79132999999999998</v>
      </c>
      <c r="BE21" s="3">
        <v>0.69194999999999995</v>
      </c>
    </row>
    <row r="22" spans="1:57" s="24" customFormat="1" x14ac:dyDescent="0.45">
      <c r="A22" s="60"/>
      <c r="B22" s="54"/>
      <c r="C22" s="50"/>
      <c r="D22" s="50"/>
      <c r="E22" s="50"/>
      <c r="F22" s="50"/>
      <c r="G22" s="50"/>
      <c r="H22" s="26">
        <v>0.18983</v>
      </c>
      <c r="I22" s="24">
        <v>0.63456999999999997</v>
      </c>
      <c r="J22" s="24">
        <v>0.79035999999999995</v>
      </c>
      <c r="K22" s="24">
        <v>0.76226000000000005</v>
      </c>
      <c r="L22" s="27">
        <v>0.77595000000000003</v>
      </c>
      <c r="M22" s="28">
        <v>0.27438000000000001</v>
      </c>
      <c r="N22" s="24">
        <v>0.56842999999999999</v>
      </c>
      <c r="O22" s="24">
        <v>0.71414999999999995</v>
      </c>
      <c r="P22" s="27">
        <v>0.63226000000000004</v>
      </c>
      <c r="Q22" s="25">
        <v>0.73856999999999995</v>
      </c>
      <c r="R22" s="24">
        <v>0.44089</v>
      </c>
      <c r="S22" s="24">
        <v>0.77724000000000004</v>
      </c>
      <c r="T22" s="24">
        <v>0.88583000000000001</v>
      </c>
      <c r="U22" s="24">
        <v>0.85121000000000002</v>
      </c>
      <c r="V22" s="27">
        <v>0.86667000000000005</v>
      </c>
      <c r="W22" s="29">
        <v>0.25355</v>
      </c>
      <c r="X22" s="24">
        <v>0.79166999999999998</v>
      </c>
      <c r="Y22" s="24">
        <v>0.90117999999999998</v>
      </c>
      <c r="Z22" s="27">
        <v>0.83781000000000005</v>
      </c>
      <c r="AA22" s="24">
        <v>0.80571000000000004</v>
      </c>
      <c r="AB22" s="26">
        <v>6.9040000000000004E-2</v>
      </c>
      <c r="AC22" s="24">
        <v>0.45623999999999998</v>
      </c>
      <c r="AD22" s="24">
        <v>0.61561999999999995</v>
      </c>
      <c r="AE22" s="24">
        <v>0.63915999999999995</v>
      </c>
      <c r="AF22" s="27">
        <v>0.62575999999999998</v>
      </c>
      <c r="AG22" s="29">
        <v>0.17552000000000001</v>
      </c>
      <c r="AH22" s="24">
        <v>0.52739999999999998</v>
      </c>
      <c r="AI22" s="24">
        <v>0.43326999999999999</v>
      </c>
      <c r="AJ22" s="27">
        <v>0.47082000000000002</v>
      </c>
      <c r="AK22" s="25">
        <v>0.39717999999999998</v>
      </c>
      <c r="AL22" s="24">
        <v>0.14327999999999999</v>
      </c>
      <c r="AM22" s="24">
        <v>0.59599999999999997</v>
      </c>
      <c r="AN22" s="24">
        <v>0.75109999999999999</v>
      </c>
      <c r="AO22" s="24">
        <v>0.74165000000000003</v>
      </c>
      <c r="AP22" s="27">
        <v>0.74334</v>
      </c>
      <c r="AQ22" s="28">
        <v>0.24428</v>
      </c>
      <c r="AR22" s="24">
        <v>0.65259999999999996</v>
      </c>
      <c r="AS22" s="24">
        <v>0.71387</v>
      </c>
      <c r="AT22" s="27">
        <v>0.67554000000000003</v>
      </c>
      <c r="AU22" s="24">
        <v>0.63692000000000004</v>
      </c>
      <c r="AV22" s="26">
        <v>0.36726999999999999</v>
      </c>
      <c r="AW22" s="24">
        <v>0.68196000000000001</v>
      </c>
      <c r="AX22" s="24">
        <v>0.85092999999999996</v>
      </c>
      <c r="AY22" s="24">
        <v>0.77239999999999998</v>
      </c>
      <c r="AZ22" s="27">
        <v>0.80271000000000003</v>
      </c>
      <c r="BA22" s="28">
        <v>0.22187000000000001</v>
      </c>
      <c r="BB22" s="24">
        <v>0.80074999999999996</v>
      </c>
      <c r="BC22" s="24">
        <v>0.84721999999999997</v>
      </c>
      <c r="BD22" s="27">
        <v>0.81281999999999999</v>
      </c>
      <c r="BE22" s="25">
        <v>0.69094</v>
      </c>
    </row>
    <row r="23" spans="1:57" s="16" customFormat="1" x14ac:dyDescent="0.45">
      <c r="A23" s="46" t="s">
        <v>36</v>
      </c>
      <c r="B23" s="51" t="s">
        <v>65</v>
      </c>
      <c r="C23" s="52" t="s">
        <v>21</v>
      </c>
      <c r="D23" s="49" t="s">
        <v>23</v>
      </c>
      <c r="E23" s="51" t="s">
        <v>19</v>
      </c>
      <c r="F23" s="49" t="s">
        <v>20</v>
      </c>
      <c r="G23" s="49" t="s">
        <v>55</v>
      </c>
      <c r="H23" s="17">
        <v>0.22724</v>
      </c>
      <c r="I23" s="16">
        <v>0.70901000000000003</v>
      </c>
      <c r="J23" s="16">
        <v>0.84236999999999995</v>
      </c>
      <c r="K23" s="16">
        <v>0.81730999999999998</v>
      </c>
      <c r="L23" s="18">
        <v>0.82945999999999998</v>
      </c>
      <c r="M23" s="19">
        <v>0.29876000000000003</v>
      </c>
      <c r="N23" s="16">
        <v>0.67859999999999998</v>
      </c>
      <c r="O23" s="16">
        <v>0.82499999999999996</v>
      </c>
      <c r="P23" s="18">
        <v>0.74431999999999998</v>
      </c>
      <c r="Q23" s="20">
        <v>0.76490000000000002</v>
      </c>
      <c r="R23" s="16">
        <v>0.49835000000000002</v>
      </c>
      <c r="S23" s="16">
        <v>0.79573000000000005</v>
      </c>
      <c r="T23" s="16">
        <v>0.89188000000000001</v>
      </c>
      <c r="U23" s="16">
        <v>0.87873000000000001</v>
      </c>
      <c r="V23" s="18">
        <v>0.88368999999999998</v>
      </c>
      <c r="W23" s="21">
        <v>0.40488000000000002</v>
      </c>
      <c r="X23" s="16">
        <v>0.80681999999999998</v>
      </c>
      <c r="Y23" s="16">
        <v>0.89512000000000003</v>
      </c>
      <c r="Z23" s="18">
        <v>0.84572000000000003</v>
      </c>
      <c r="AA23" s="16">
        <v>0.82943999999999996</v>
      </c>
      <c r="AB23" s="17">
        <v>6.9250000000000006E-2</v>
      </c>
      <c r="AC23" s="16">
        <v>0.45344000000000001</v>
      </c>
      <c r="AD23" s="16">
        <v>0.61970000000000003</v>
      </c>
      <c r="AE23" s="16">
        <v>0.62834000000000001</v>
      </c>
      <c r="AF23" s="18">
        <v>0.62278999999999995</v>
      </c>
      <c r="AG23" s="21">
        <v>0.27017999999999998</v>
      </c>
      <c r="AH23" s="16">
        <v>0.57064000000000004</v>
      </c>
      <c r="AI23" s="16">
        <v>0.39415</v>
      </c>
      <c r="AJ23" s="18">
        <v>0.45940999999999999</v>
      </c>
      <c r="AK23" s="20">
        <v>0.40117999999999998</v>
      </c>
      <c r="AL23" s="16">
        <v>0.15983</v>
      </c>
      <c r="AM23" s="16">
        <v>0.60013000000000005</v>
      </c>
      <c r="AN23" s="16">
        <v>0.77371999999999996</v>
      </c>
      <c r="AO23" s="16">
        <v>0.72496000000000005</v>
      </c>
      <c r="AP23" s="18">
        <v>0.74548000000000003</v>
      </c>
      <c r="AQ23" s="19">
        <v>0.27117000000000002</v>
      </c>
      <c r="AR23" s="16">
        <v>0.67679999999999996</v>
      </c>
      <c r="AS23" s="16">
        <v>0.70789999999999997</v>
      </c>
      <c r="AT23" s="18">
        <v>0.68550999999999995</v>
      </c>
      <c r="AU23" s="16">
        <v>0.62348999999999999</v>
      </c>
      <c r="AV23" s="17">
        <v>0.35818</v>
      </c>
      <c r="AW23" s="16">
        <v>0.68838999999999995</v>
      </c>
      <c r="AX23" s="16">
        <v>0.86633000000000004</v>
      </c>
      <c r="AY23" s="16">
        <v>0.76622000000000001</v>
      </c>
      <c r="AZ23" s="18">
        <v>0.80566000000000004</v>
      </c>
      <c r="BA23" s="19">
        <v>0.27099000000000001</v>
      </c>
      <c r="BB23" s="16">
        <v>0.81537999999999999</v>
      </c>
      <c r="BC23" s="16">
        <v>0.80944000000000005</v>
      </c>
      <c r="BD23" s="18">
        <v>0.80289999999999995</v>
      </c>
      <c r="BE23" s="20">
        <v>0.69301000000000001</v>
      </c>
    </row>
    <row r="24" spans="1:57" x14ac:dyDescent="0.45">
      <c r="A24" s="59"/>
      <c r="B24" s="44"/>
      <c r="C24" s="53"/>
      <c r="D24" s="44"/>
      <c r="E24" s="44"/>
      <c r="F24" s="44"/>
      <c r="G24" s="44"/>
      <c r="H24" s="2">
        <v>0.19091</v>
      </c>
      <c r="I24" s="1">
        <v>0.73204000000000002</v>
      </c>
      <c r="J24" s="1">
        <v>0.84992000000000001</v>
      </c>
      <c r="K24" s="1">
        <v>0.84038999999999997</v>
      </c>
      <c r="L24" s="4">
        <v>0.84499999999999997</v>
      </c>
      <c r="M24" s="5">
        <v>0.27298</v>
      </c>
      <c r="N24" s="1">
        <v>0.68593000000000004</v>
      </c>
      <c r="O24" s="1">
        <v>0.82177</v>
      </c>
      <c r="P24" s="4">
        <v>0.74717</v>
      </c>
      <c r="Q24" s="3">
        <v>0.78471999999999997</v>
      </c>
      <c r="R24" s="1">
        <v>0.49818000000000001</v>
      </c>
      <c r="S24" s="1">
        <v>0.80027000000000004</v>
      </c>
      <c r="T24" s="1">
        <v>0.90849000000000002</v>
      </c>
      <c r="U24" s="1">
        <v>0.86822999999999995</v>
      </c>
      <c r="V24" s="4">
        <v>0.88643000000000005</v>
      </c>
      <c r="W24" s="6">
        <v>0.34510000000000002</v>
      </c>
      <c r="X24" s="1">
        <v>0.80467999999999995</v>
      </c>
      <c r="Y24" s="1">
        <v>0.89219999999999999</v>
      </c>
      <c r="Z24" s="4">
        <v>0.84341999999999995</v>
      </c>
      <c r="AA24" s="1">
        <v>0.82440999999999998</v>
      </c>
      <c r="AB24" s="2">
        <v>6.1830000000000003E-2</v>
      </c>
      <c r="AC24" s="1">
        <v>0.46174999999999999</v>
      </c>
      <c r="AD24" s="1">
        <v>0.61448000000000003</v>
      </c>
      <c r="AE24" s="1">
        <v>0.65056000000000003</v>
      </c>
      <c r="AF24" s="4">
        <v>0.63061</v>
      </c>
      <c r="AG24" s="6">
        <v>0.27017999999999998</v>
      </c>
      <c r="AH24" s="1">
        <v>0.57382</v>
      </c>
      <c r="AI24" s="1">
        <v>0.38979000000000003</v>
      </c>
      <c r="AJ24" s="4">
        <v>0.45874999999999999</v>
      </c>
      <c r="AK24" s="3">
        <v>0.40697</v>
      </c>
      <c r="AL24" s="1">
        <v>0.16073999999999999</v>
      </c>
      <c r="AM24" s="1">
        <v>0.60299999999999998</v>
      </c>
      <c r="AN24" s="1">
        <v>0.78098000000000001</v>
      </c>
      <c r="AO24" s="1">
        <v>0.72206000000000004</v>
      </c>
      <c r="AP24" s="4">
        <v>0.74760000000000004</v>
      </c>
      <c r="AQ24" s="5">
        <v>0.27017999999999998</v>
      </c>
      <c r="AR24" s="1">
        <v>0.70331999999999995</v>
      </c>
      <c r="AS24" s="1">
        <v>0.70035000000000003</v>
      </c>
      <c r="AT24" s="4">
        <v>0.69594999999999996</v>
      </c>
      <c r="AU24" s="1">
        <v>0.63071999999999995</v>
      </c>
      <c r="AV24" s="2">
        <v>0.35</v>
      </c>
      <c r="AW24" s="1">
        <v>0.68381999999999998</v>
      </c>
      <c r="AX24" s="1">
        <v>0.86126999999999998</v>
      </c>
      <c r="AY24" s="1">
        <v>0.76341000000000003</v>
      </c>
      <c r="AZ24" s="4">
        <v>0.80239000000000005</v>
      </c>
      <c r="BA24" s="5">
        <v>0.27017999999999998</v>
      </c>
      <c r="BB24" s="1">
        <v>0.81869999999999998</v>
      </c>
      <c r="BC24" s="1">
        <v>0.80093999999999999</v>
      </c>
      <c r="BD24" s="4">
        <v>0.80035999999999996</v>
      </c>
      <c r="BE24" s="3">
        <v>0.69394</v>
      </c>
    </row>
    <row r="25" spans="1:57" s="24" customFormat="1" x14ac:dyDescent="0.45">
      <c r="A25" s="60"/>
      <c r="B25" s="50"/>
      <c r="C25" s="54"/>
      <c r="D25" s="50"/>
      <c r="E25" s="50"/>
      <c r="F25" s="50"/>
      <c r="G25" s="50"/>
      <c r="H25" s="26">
        <v>0.20651</v>
      </c>
      <c r="I25" s="24">
        <v>0.72353999999999996</v>
      </c>
      <c r="J25" s="24">
        <v>0.85521999999999998</v>
      </c>
      <c r="K25" s="24">
        <v>0.82454000000000005</v>
      </c>
      <c r="L25" s="27">
        <v>0.83940000000000003</v>
      </c>
      <c r="M25" s="28">
        <v>0.32508999999999999</v>
      </c>
      <c r="N25" s="24">
        <v>0.70323999999999998</v>
      </c>
      <c r="O25" s="24">
        <v>0.79337000000000002</v>
      </c>
      <c r="P25" s="27">
        <v>0.74495</v>
      </c>
      <c r="Q25" s="25">
        <v>0.77359</v>
      </c>
      <c r="R25" s="24">
        <v>0.49967</v>
      </c>
      <c r="S25" s="24">
        <v>0.80801999999999996</v>
      </c>
      <c r="T25" s="24">
        <v>0.91842000000000001</v>
      </c>
      <c r="U25" s="24">
        <v>0.86834999999999996</v>
      </c>
      <c r="V25" s="27">
        <v>0.89173000000000002</v>
      </c>
      <c r="W25" s="29">
        <v>0.44506000000000001</v>
      </c>
      <c r="X25" s="24">
        <v>0.81413000000000002</v>
      </c>
      <c r="Y25" s="24">
        <v>0.87268999999999997</v>
      </c>
      <c r="Z25" s="27">
        <v>0.84041999999999994</v>
      </c>
      <c r="AA25" s="24">
        <v>0.82703000000000004</v>
      </c>
      <c r="AB25" s="26">
        <v>6.3439999999999996E-2</v>
      </c>
      <c r="AC25" s="24">
        <v>0.45601000000000003</v>
      </c>
      <c r="AD25" s="24">
        <v>0.61682999999999999</v>
      </c>
      <c r="AE25" s="24">
        <v>0.63756999999999997</v>
      </c>
      <c r="AF25" s="27">
        <v>0.62517999999999996</v>
      </c>
      <c r="AG25" s="29">
        <v>0.27035999999999999</v>
      </c>
      <c r="AH25" s="24">
        <v>0.58133999999999997</v>
      </c>
      <c r="AI25" s="24">
        <v>0.40383999999999998</v>
      </c>
      <c r="AJ25" s="27">
        <v>0.47088000000000002</v>
      </c>
      <c r="AK25" s="25">
        <v>0.40354000000000001</v>
      </c>
      <c r="AL25" s="24">
        <v>0.16073999999999999</v>
      </c>
      <c r="AM25" s="24">
        <v>0.59891000000000005</v>
      </c>
      <c r="AN25" s="24">
        <v>0.77693999999999996</v>
      </c>
      <c r="AO25" s="24">
        <v>0.71855999999999998</v>
      </c>
      <c r="AP25" s="27">
        <v>0.74412</v>
      </c>
      <c r="AQ25" s="28">
        <v>0.27017999999999998</v>
      </c>
      <c r="AR25" s="24">
        <v>0.68661000000000005</v>
      </c>
      <c r="AS25" s="24">
        <v>0.70638999999999996</v>
      </c>
      <c r="AT25" s="27">
        <v>0.68967999999999996</v>
      </c>
      <c r="AU25" s="24">
        <v>0.62012</v>
      </c>
      <c r="AV25" s="26">
        <v>0.35255999999999998</v>
      </c>
      <c r="AW25" s="24">
        <v>0.68676999999999999</v>
      </c>
      <c r="AX25" s="24">
        <v>0.86717999999999995</v>
      </c>
      <c r="AY25" s="24">
        <v>0.76170000000000004</v>
      </c>
      <c r="AZ25" s="27">
        <v>0.80381000000000002</v>
      </c>
      <c r="BA25" s="28">
        <v>0.27099000000000001</v>
      </c>
      <c r="BB25" s="24">
        <v>0.81838999999999995</v>
      </c>
      <c r="BC25" s="24">
        <v>0.79859999999999998</v>
      </c>
      <c r="BD25" s="27">
        <v>0.79803000000000002</v>
      </c>
      <c r="BE25" s="25">
        <v>0.69232000000000005</v>
      </c>
    </row>
    <row r="26" spans="1:57" s="16" customFormat="1" x14ac:dyDescent="0.45">
      <c r="A26" s="15" t="s">
        <v>41</v>
      </c>
      <c r="B26" s="51" t="s">
        <v>65</v>
      </c>
      <c r="C26" s="49" t="s">
        <v>22</v>
      </c>
      <c r="D26" s="55" t="s">
        <v>38</v>
      </c>
      <c r="E26" s="51" t="s">
        <v>19</v>
      </c>
      <c r="F26" s="49" t="s">
        <v>20</v>
      </c>
      <c r="G26" s="51" t="s">
        <v>55</v>
      </c>
      <c r="H26" s="17">
        <v>0.34472000000000003</v>
      </c>
      <c r="I26" s="16">
        <v>0.72857000000000005</v>
      </c>
      <c r="J26" s="16">
        <v>0.85092999999999996</v>
      </c>
      <c r="K26" s="16">
        <v>0.83481000000000005</v>
      </c>
      <c r="L26" s="18">
        <v>0.84265000000000001</v>
      </c>
      <c r="M26" s="19">
        <v>0.96304999999999996</v>
      </c>
      <c r="N26" s="16">
        <v>0.53471000000000002</v>
      </c>
      <c r="O26" s="16">
        <v>0.78181999999999996</v>
      </c>
      <c r="P26" s="18">
        <v>0.62827999999999995</v>
      </c>
      <c r="Q26" s="20">
        <v>0.73068</v>
      </c>
      <c r="R26" s="16">
        <v>0.6</v>
      </c>
      <c r="S26" s="16">
        <v>0.83423999999999998</v>
      </c>
      <c r="T26" s="16">
        <v>0.93498000000000003</v>
      </c>
      <c r="U26" s="16">
        <v>0.88456000000000001</v>
      </c>
      <c r="V26" s="18">
        <v>0.90829000000000004</v>
      </c>
      <c r="W26" s="21">
        <v>0.96187999999999996</v>
      </c>
      <c r="X26" s="16">
        <v>0.74029</v>
      </c>
      <c r="Y26" s="16">
        <v>0.92423999999999995</v>
      </c>
      <c r="Z26" s="18">
        <v>0.81908000000000003</v>
      </c>
      <c r="AA26" s="16">
        <v>0.81847000000000003</v>
      </c>
      <c r="AB26" s="17">
        <v>4.4810000000000003E-2</v>
      </c>
      <c r="AC26" s="16">
        <v>5.5030000000000003E-2</v>
      </c>
      <c r="AD26" s="16">
        <v>5.5030000000000003E-2</v>
      </c>
      <c r="AE26" s="16">
        <v>1</v>
      </c>
      <c r="AF26" s="18">
        <v>0.10419</v>
      </c>
      <c r="AG26" s="21">
        <v>0.95240000000000002</v>
      </c>
      <c r="AH26" s="16">
        <v>0.35759999999999997</v>
      </c>
      <c r="AI26" s="16">
        <v>0.57767000000000002</v>
      </c>
      <c r="AJ26" s="18">
        <v>0.43813999999999997</v>
      </c>
      <c r="AK26" s="20">
        <v>0.26105</v>
      </c>
      <c r="AL26" s="16">
        <v>0.26851999999999998</v>
      </c>
      <c r="AM26" s="16">
        <v>0.61982999999999999</v>
      </c>
      <c r="AN26" s="16">
        <v>0.79710999999999999</v>
      </c>
      <c r="AO26" s="16">
        <v>0.73490999999999995</v>
      </c>
      <c r="AP26" s="18">
        <v>0.76212999999999997</v>
      </c>
      <c r="AQ26" s="19">
        <v>0.95599999999999996</v>
      </c>
      <c r="AR26" s="16">
        <v>0.53339000000000003</v>
      </c>
      <c r="AS26" s="16">
        <v>0.76671999999999996</v>
      </c>
      <c r="AT26" s="18">
        <v>0.61914999999999998</v>
      </c>
      <c r="AU26" s="16">
        <v>0.58550000000000002</v>
      </c>
      <c r="AV26" s="17">
        <v>0.43653999999999998</v>
      </c>
      <c r="AW26" s="16">
        <v>0.72153999999999996</v>
      </c>
      <c r="AX26" s="16">
        <v>0.87277000000000005</v>
      </c>
      <c r="AY26" s="16">
        <v>0.80623</v>
      </c>
      <c r="AZ26" s="18">
        <v>0.83247000000000004</v>
      </c>
      <c r="BA26" s="19">
        <v>0.95860000000000001</v>
      </c>
      <c r="BB26" s="16">
        <v>0.67949999999999999</v>
      </c>
      <c r="BC26" s="16">
        <v>0.92161000000000004</v>
      </c>
      <c r="BD26" s="18">
        <v>0.77220999999999995</v>
      </c>
      <c r="BE26" s="20">
        <v>0.68318000000000001</v>
      </c>
    </row>
    <row r="27" spans="1:57" x14ac:dyDescent="0.45">
      <c r="A27" s="22"/>
      <c r="B27" s="44"/>
      <c r="C27" s="44"/>
      <c r="D27" s="53"/>
      <c r="E27" s="44"/>
      <c r="F27" s="44"/>
      <c r="G27" s="44"/>
      <c r="H27" s="2">
        <v>0.28672999999999998</v>
      </c>
      <c r="I27" s="1">
        <v>0.73934999999999995</v>
      </c>
      <c r="J27" s="1">
        <v>0.84838999999999998</v>
      </c>
      <c r="K27" s="1">
        <v>0.85114999999999996</v>
      </c>
      <c r="L27" s="4">
        <v>0.84965000000000002</v>
      </c>
      <c r="M27" s="5">
        <v>0.96928000000000003</v>
      </c>
      <c r="N27" s="1">
        <v>0.53974999999999995</v>
      </c>
      <c r="O27" s="1">
        <v>0.76070000000000004</v>
      </c>
      <c r="P27" s="4">
        <v>0.62607000000000002</v>
      </c>
      <c r="Q27" s="3">
        <v>0.75078</v>
      </c>
      <c r="R27" s="1">
        <v>0.6</v>
      </c>
      <c r="S27" s="1">
        <v>0.84262000000000004</v>
      </c>
      <c r="T27" s="1">
        <v>0.93317000000000005</v>
      </c>
      <c r="U27" s="1">
        <v>0.89598</v>
      </c>
      <c r="V27" s="4">
        <v>0.91347999999999996</v>
      </c>
      <c r="W27" s="6">
        <v>0.96355999999999997</v>
      </c>
      <c r="X27" s="1">
        <v>0.70842000000000005</v>
      </c>
      <c r="Y27" s="1">
        <v>0.90134000000000003</v>
      </c>
      <c r="Z27" s="4">
        <v>0.78834000000000004</v>
      </c>
      <c r="AA27" s="1">
        <v>0.81569000000000003</v>
      </c>
      <c r="AB27" s="2">
        <v>0.02</v>
      </c>
      <c r="AC27" s="1">
        <v>5.5030000000000003E-2</v>
      </c>
      <c r="AD27" s="1">
        <v>5.5030000000000003E-2</v>
      </c>
      <c r="AE27" s="1">
        <v>1</v>
      </c>
      <c r="AF27" s="4">
        <v>0.10419</v>
      </c>
      <c r="AG27" s="6">
        <v>0.95118000000000003</v>
      </c>
      <c r="AH27" s="1">
        <v>0.35041</v>
      </c>
      <c r="AI27" s="1">
        <v>0.57037000000000004</v>
      </c>
      <c r="AJ27" s="4">
        <v>0.42599999999999999</v>
      </c>
      <c r="AK27" s="3">
        <v>0.25761000000000001</v>
      </c>
      <c r="AL27" s="1">
        <v>0.27461999999999998</v>
      </c>
      <c r="AM27" s="1">
        <v>0.60358000000000001</v>
      </c>
      <c r="AN27" s="1">
        <v>0.78578999999999999</v>
      </c>
      <c r="AO27" s="1">
        <v>0.72104000000000001</v>
      </c>
      <c r="AP27" s="4">
        <v>0.74858999999999998</v>
      </c>
      <c r="AQ27" s="5">
        <v>0.95454000000000006</v>
      </c>
      <c r="AR27" s="1">
        <v>0.54515000000000002</v>
      </c>
      <c r="AS27" s="1">
        <v>0.78956000000000004</v>
      </c>
      <c r="AT27" s="4">
        <v>0.63571999999999995</v>
      </c>
      <c r="AU27" s="1">
        <v>0.56955999999999996</v>
      </c>
      <c r="AV27" s="2">
        <v>0.47893999999999998</v>
      </c>
      <c r="AW27" s="1">
        <v>0.70254000000000005</v>
      </c>
      <c r="AX27" s="1">
        <v>0.87151000000000001</v>
      </c>
      <c r="AY27" s="1">
        <v>0.78263000000000005</v>
      </c>
      <c r="AZ27" s="4">
        <v>0.81767000000000001</v>
      </c>
      <c r="BA27" s="5">
        <v>0.96018999999999999</v>
      </c>
      <c r="BB27" s="1">
        <v>0.69303000000000003</v>
      </c>
      <c r="BC27" s="1">
        <v>0.89780000000000004</v>
      </c>
      <c r="BD27" s="4">
        <v>0.76954999999999996</v>
      </c>
      <c r="BE27" s="3">
        <v>0.65986999999999996</v>
      </c>
    </row>
    <row r="28" spans="1:57" s="24" customFormat="1" x14ac:dyDescent="0.45">
      <c r="A28" s="23"/>
      <c r="B28" s="50"/>
      <c r="C28" s="50"/>
      <c r="D28" s="54"/>
      <c r="E28" s="50"/>
      <c r="F28" s="50"/>
      <c r="G28" s="50"/>
      <c r="H28" s="26">
        <v>0.35215999999999997</v>
      </c>
      <c r="I28" s="24">
        <v>0.74046999999999996</v>
      </c>
      <c r="J28" s="24">
        <v>0.87144999999999995</v>
      </c>
      <c r="K28" s="24">
        <v>0.83072000000000001</v>
      </c>
      <c r="L28" s="27">
        <v>0.85043000000000002</v>
      </c>
      <c r="M28" s="28">
        <v>0.98285999999999996</v>
      </c>
      <c r="N28" s="24">
        <v>0.64251000000000003</v>
      </c>
      <c r="O28" s="24">
        <v>0.63995000000000002</v>
      </c>
      <c r="P28" s="27">
        <v>0.64090999999999998</v>
      </c>
      <c r="Q28" s="25">
        <v>0.76385999999999998</v>
      </c>
      <c r="R28" s="24">
        <v>0.71250000000000002</v>
      </c>
      <c r="S28" s="24">
        <v>0.84155999999999997</v>
      </c>
      <c r="T28" s="24">
        <v>0.95462999999999998</v>
      </c>
      <c r="U28" s="24">
        <v>0.87607999999999997</v>
      </c>
      <c r="V28" s="27">
        <v>0.91305000000000003</v>
      </c>
      <c r="W28" s="29">
        <v>0.95526999999999995</v>
      </c>
      <c r="X28" s="24">
        <v>0.75131000000000003</v>
      </c>
      <c r="Y28" s="24">
        <v>0.91500999999999999</v>
      </c>
      <c r="Z28" s="27">
        <v>0.82060999999999995</v>
      </c>
      <c r="AA28" s="24">
        <v>0.80120999999999998</v>
      </c>
      <c r="AB28" s="26">
        <v>6.11E-3</v>
      </c>
      <c r="AC28" s="24">
        <v>5.5030000000000003E-2</v>
      </c>
      <c r="AD28" s="24">
        <v>5.5030000000000003E-2</v>
      </c>
      <c r="AE28" s="24">
        <v>1</v>
      </c>
      <c r="AF28" s="27">
        <v>0.10419</v>
      </c>
      <c r="AG28" s="29">
        <v>0.95179000000000002</v>
      </c>
      <c r="AH28" s="24">
        <v>0.34850999999999999</v>
      </c>
      <c r="AI28" s="24">
        <v>0.57555000000000001</v>
      </c>
      <c r="AJ28" s="27">
        <v>0.43289</v>
      </c>
      <c r="AK28" s="25">
        <v>0.25702000000000003</v>
      </c>
      <c r="AL28" s="24">
        <v>0.28333000000000003</v>
      </c>
      <c r="AM28" s="24">
        <v>0.61192999999999997</v>
      </c>
      <c r="AN28" s="24">
        <v>0.79969999999999997</v>
      </c>
      <c r="AO28" s="24">
        <v>0.72167999999999999</v>
      </c>
      <c r="AP28" s="27">
        <v>0.75558999999999998</v>
      </c>
      <c r="AQ28" s="28">
        <v>0.95362999999999998</v>
      </c>
      <c r="AR28" s="24">
        <v>0.56105000000000005</v>
      </c>
      <c r="AS28" s="24">
        <v>0.74755000000000005</v>
      </c>
      <c r="AT28" s="27">
        <v>0.63275999999999999</v>
      </c>
      <c r="AU28" s="24">
        <v>0.58384000000000003</v>
      </c>
      <c r="AV28" s="26">
        <v>0.47494999999999998</v>
      </c>
      <c r="AW28" s="24">
        <v>0.69847999999999999</v>
      </c>
      <c r="AX28" s="24">
        <v>0.87365999999999999</v>
      </c>
      <c r="AY28" s="24">
        <v>0.77661999999999998</v>
      </c>
      <c r="AZ28" s="27">
        <v>0.81471000000000005</v>
      </c>
      <c r="BA28" s="28">
        <v>0.95230000000000004</v>
      </c>
      <c r="BB28" s="24">
        <v>0.65764999999999996</v>
      </c>
      <c r="BC28" s="24">
        <v>0.90730999999999995</v>
      </c>
      <c r="BD28" s="27">
        <v>0.74968000000000001</v>
      </c>
      <c r="BE28" s="25">
        <v>0.63871999999999995</v>
      </c>
    </row>
    <row r="29" spans="1:57" s="16" customFormat="1" x14ac:dyDescent="0.45">
      <c r="A29" s="15" t="s">
        <v>40</v>
      </c>
      <c r="B29" s="51" t="s">
        <v>65</v>
      </c>
      <c r="C29" s="49" t="s">
        <v>22</v>
      </c>
      <c r="D29" s="49" t="s">
        <v>23</v>
      </c>
      <c r="E29" s="55" t="s">
        <v>39</v>
      </c>
      <c r="F29" s="49" t="s">
        <v>20</v>
      </c>
      <c r="G29" s="51" t="s">
        <v>55</v>
      </c>
      <c r="H29" s="17">
        <v>0.29636000000000001</v>
      </c>
      <c r="I29" s="16">
        <v>0.73507</v>
      </c>
      <c r="J29" s="16">
        <v>0.84697999999999996</v>
      </c>
      <c r="K29" s="16">
        <v>0.84731000000000001</v>
      </c>
      <c r="L29" s="18">
        <v>0.84696000000000005</v>
      </c>
      <c r="M29" s="19">
        <v>0.40083999999999997</v>
      </c>
      <c r="N29" s="16">
        <v>0.71823999999999999</v>
      </c>
      <c r="O29" s="16">
        <v>0.85290999999999995</v>
      </c>
      <c r="P29" s="18">
        <v>0.77942999999999996</v>
      </c>
      <c r="Q29" s="20">
        <v>0.76517999999999997</v>
      </c>
      <c r="R29" s="16">
        <v>0.47935</v>
      </c>
      <c r="S29" s="16">
        <v>0.79488999999999999</v>
      </c>
      <c r="T29" s="16">
        <v>0.93035999999999996</v>
      </c>
      <c r="U29" s="16">
        <v>0.84435000000000004</v>
      </c>
      <c r="V29" s="18">
        <v>0.88424000000000003</v>
      </c>
      <c r="W29" s="21">
        <v>0.56066000000000005</v>
      </c>
      <c r="X29" s="16">
        <v>0.86368999999999996</v>
      </c>
      <c r="Y29" s="16">
        <v>0.91241000000000005</v>
      </c>
      <c r="Z29" s="18">
        <v>0.88583999999999996</v>
      </c>
      <c r="AA29" s="16">
        <v>0.78363000000000005</v>
      </c>
      <c r="AB29" s="17">
        <v>0.15909000000000001</v>
      </c>
      <c r="AC29" s="16">
        <v>0.52690999999999999</v>
      </c>
      <c r="AD29" s="16">
        <v>0.65312999999999999</v>
      </c>
      <c r="AE29" s="16">
        <v>0.73202999999999996</v>
      </c>
      <c r="AF29" s="18">
        <v>0.68984999999999996</v>
      </c>
      <c r="AG29" s="21">
        <v>0.30560999999999999</v>
      </c>
      <c r="AH29" s="16">
        <v>0.64707999999999999</v>
      </c>
      <c r="AI29" s="16">
        <v>0.48777999999999999</v>
      </c>
      <c r="AJ29" s="18">
        <v>0.54790000000000005</v>
      </c>
      <c r="AK29" s="20">
        <v>0.43242000000000003</v>
      </c>
      <c r="AL29" s="16">
        <v>0.26328000000000001</v>
      </c>
      <c r="AM29" s="16">
        <v>0.66046000000000005</v>
      </c>
      <c r="AN29" s="16">
        <v>0.79588999999999999</v>
      </c>
      <c r="AO29" s="16">
        <v>0.79673000000000005</v>
      </c>
      <c r="AP29" s="18">
        <v>0.79322999999999999</v>
      </c>
      <c r="AQ29" s="19">
        <v>0.35387000000000002</v>
      </c>
      <c r="AR29" s="16">
        <v>0.73526000000000002</v>
      </c>
      <c r="AS29" s="16">
        <v>0.79656000000000005</v>
      </c>
      <c r="AT29" s="18">
        <v>0.76026000000000005</v>
      </c>
      <c r="AU29" s="16">
        <v>0.66873000000000005</v>
      </c>
      <c r="AV29" s="17">
        <v>0.40682000000000001</v>
      </c>
      <c r="AW29" s="16">
        <v>0.70133999999999996</v>
      </c>
      <c r="AX29" s="16">
        <v>0.85931000000000002</v>
      </c>
      <c r="AY29" s="16">
        <v>0.79483999999999999</v>
      </c>
      <c r="AZ29" s="18">
        <v>0.81889000000000001</v>
      </c>
      <c r="BA29" s="19">
        <v>0.39015</v>
      </c>
      <c r="BB29" s="16">
        <v>0.82396000000000003</v>
      </c>
      <c r="BC29" s="16">
        <v>0.88034999999999997</v>
      </c>
      <c r="BD29" s="18">
        <v>0.84487999999999996</v>
      </c>
      <c r="BE29" s="20">
        <v>0.69730000000000003</v>
      </c>
    </row>
    <row r="30" spans="1:57" x14ac:dyDescent="0.45">
      <c r="A30" s="22" t="s">
        <v>48</v>
      </c>
      <c r="B30" s="44"/>
      <c r="C30" s="44"/>
      <c r="D30" s="44"/>
      <c r="E30" s="53"/>
      <c r="F30" s="44"/>
      <c r="G30" s="44"/>
      <c r="H30" s="2">
        <v>0.26832</v>
      </c>
      <c r="I30" s="1">
        <v>0.76105999999999996</v>
      </c>
      <c r="J30" s="1">
        <v>0.86387999999999998</v>
      </c>
      <c r="K30" s="1">
        <v>0.86441999999999997</v>
      </c>
      <c r="L30" s="4">
        <v>0.86404000000000003</v>
      </c>
      <c r="M30" s="5">
        <v>0.46182000000000001</v>
      </c>
      <c r="N30" s="1">
        <v>0.75146000000000002</v>
      </c>
      <c r="O30" s="1">
        <v>0.85714999999999997</v>
      </c>
      <c r="P30" s="4">
        <v>0.80044999999999999</v>
      </c>
      <c r="Q30" s="3">
        <v>0.78432999999999997</v>
      </c>
      <c r="R30" s="1">
        <v>0.43336999999999998</v>
      </c>
      <c r="S30" s="1">
        <v>0.77819000000000005</v>
      </c>
      <c r="T30" s="1">
        <v>0.90459999999999996</v>
      </c>
      <c r="U30" s="1">
        <v>0.84665999999999997</v>
      </c>
      <c r="V30" s="4">
        <v>0.87277000000000005</v>
      </c>
      <c r="W30" s="6">
        <v>0.57620000000000005</v>
      </c>
      <c r="X30" s="1">
        <v>0.82862999999999998</v>
      </c>
      <c r="Y30" s="1">
        <v>0.91810000000000003</v>
      </c>
      <c r="Z30" s="4">
        <v>0.86767000000000005</v>
      </c>
      <c r="AA30" s="1">
        <v>0.78813999999999995</v>
      </c>
      <c r="AB30" s="2">
        <v>0.15759999999999999</v>
      </c>
      <c r="AC30" s="1">
        <v>0.53127999999999997</v>
      </c>
      <c r="AD30" s="1">
        <v>0.65734000000000004</v>
      </c>
      <c r="AE30" s="1">
        <v>0.73482999999999998</v>
      </c>
      <c r="AF30" s="4">
        <v>0.69354000000000005</v>
      </c>
      <c r="AG30" s="6">
        <v>0.31412000000000001</v>
      </c>
      <c r="AH30" s="1">
        <v>0.65144999999999997</v>
      </c>
      <c r="AI30" s="1">
        <v>0.49446000000000001</v>
      </c>
      <c r="AJ30" s="4">
        <v>0.55357000000000001</v>
      </c>
      <c r="AK30" s="3">
        <v>0.43708999999999998</v>
      </c>
      <c r="AL30" s="1">
        <v>0.27090999999999998</v>
      </c>
      <c r="AM30" s="1">
        <v>0.66200999999999999</v>
      </c>
      <c r="AN30" s="1">
        <v>0.80957000000000001</v>
      </c>
      <c r="AO30" s="1">
        <v>0.78680000000000005</v>
      </c>
      <c r="AP30" s="4">
        <v>0.79452999999999996</v>
      </c>
      <c r="AQ30" s="5">
        <v>0.38801999999999998</v>
      </c>
      <c r="AR30" s="1">
        <v>0.75255000000000005</v>
      </c>
      <c r="AS30" s="1">
        <v>0.79766000000000004</v>
      </c>
      <c r="AT30" s="4">
        <v>0.77081</v>
      </c>
      <c r="AU30" s="1">
        <v>0.67435</v>
      </c>
      <c r="AV30" s="2">
        <v>0.41341</v>
      </c>
      <c r="AW30" s="1">
        <v>0.70411000000000001</v>
      </c>
      <c r="AX30" s="1">
        <v>0.85538000000000003</v>
      </c>
      <c r="AY30" s="1">
        <v>0.80049000000000003</v>
      </c>
      <c r="AZ30" s="4">
        <v>0.82033</v>
      </c>
      <c r="BA30" s="5">
        <v>0.42409000000000002</v>
      </c>
      <c r="BB30" s="1">
        <v>0.80623</v>
      </c>
      <c r="BC30" s="1">
        <v>0.88802000000000003</v>
      </c>
      <c r="BD30" s="4">
        <v>0.83855999999999997</v>
      </c>
      <c r="BE30" s="3">
        <v>0.70706999999999998</v>
      </c>
    </row>
    <row r="31" spans="1:57" s="24" customFormat="1" x14ac:dyDescent="0.45">
      <c r="A31" s="23"/>
      <c r="B31" s="50"/>
      <c r="C31" s="50"/>
      <c r="D31" s="50"/>
      <c r="E31" s="54"/>
      <c r="F31" s="50"/>
      <c r="G31" s="50"/>
      <c r="H31" s="26">
        <v>0.27560000000000001</v>
      </c>
      <c r="I31" s="24">
        <v>0.76253000000000004</v>
      </c>
      <c r="J31" s="24">
        <v>0.86995</v>
      </c>
      <c r="K31" s="24">
        <v>0.86041000000000001</v>
      </c>
      <c r="L31" s="27">
        <v>0.86502000000000001</v>
      </c>
      <c r="M31" s="28">
        <v>0.47537000000000001</v>
      </c>
      <c r="N31" s="24">
        <v>0.77036000000000004</v>
      </c>
      <c r="O31" s="24">
        <v>0.85841999999999996</v>
      </c>
      <c r="P31" s="27">
        <v>0.81174999999999997</v>
      </c>
      <c r="Q31" s="25">
        <v>0.78217000000000003</v>
      </c>
      <c r="R31" s="24">
        <v>0.40893000000000002</v>
      </c>
      <c r="S31" s="24">
        <v>0.77561000000000002</v>
      </c>
      <c r="T31" s="24">
        <v>0.89515999999999996</v>
      </c>
      <c r="U31" s="24">
        <v>0.85189999999999999</v>
      </c>
      <c r="V31" s="27">
        <v>0.87073</v>
      </c>
      <c r="W31" s="29">
        <v>0.56000000000000005</v>
      </c>
      <c r="X31" s="24">
        <v>0.80401999999999996</v>
      </c>
      <c r="Y31" s="24">
        <v>0.91034000000000004</v>
      </c>
      <c r="Z31" s="27">
        <v>0.84952000000000005</v>
      </c>
      <c r="AA31" s="24">
        <v>0.78644000000000003</v>
      </c>
      <c r="AB31" s="26">
        <v>0.15357000000000001</v>
      </c>
      <c r="AC31" s="24">
        <v>0.53241000000000005</v>
      </c>
      <c r="AD31" s="24">
        <v>0.65605999999999998</v>
      </c>
      <c r="AE31" s="24">
        <v>0.73895</v>
      </c>
      <c r="AF31" s="27">
        <v>0.69450999999999996</v>
      </c>
      <c r="AG31" s="29">
        <v>0.28382000000000002</v>
      </c>
      <c r="AH31" s="24">
        <v>0.64178000000000002</v>
      </c>
      <c r="AI31" s="24">
        <v>0.50565000000000004</v>
      </c>
      <c r="AJ31" s="27">
        <v>0.55739000000000005</v>
      </c>
      <c r="AK31" s="25">
        <v>0.43456</v>
      </c>
      <c r="AL31" s="24">
        <v>0.26676</v>
      </c>
      <c r="AM31" s="24">
        <v>0.66183999999999998</v>
      </c>
      <c r="AN31" s="24">
        <v>0.80642999999999998</v>
      </c>
      <c r="AO31" s="24">
        <v>0.78961000000000003</v>
      </c>
      <c r="AP31" s="27">
        <v>0.79429000000000005</v>
      </c>
      <c r="AQ31" s="28">
        <v>0.36503000000000002</v>
      </c>
      <c r="AR31" s="24">
        <v>0.74192000000000002</v>
      </c>
      <c r="AS31" s="24">
        <v>0.80369999999999997</v>
      </c>
      <c r="AT31" s="27">
        <v>0.76827000000000001</v>
      </c>
      <c r="AU31" s="24">
        <v>0.67359999999999998</v>
      </c>
      <c r="AV31" s="26">
        <v>0.42542000000000002</v>
      </c>
      <c r="AW31" s="24">
        <v>0.70132000000000005</v>
      </c>
      <c r="AX31" s="24">
        <v>0.86184000000000005</v>
      </c>
      <c r="AY31" s="24">
        <v>0.79147999999999996</v>
      </c>
      <c r="AZ31" s="27">
        <v>0.81816999999999995</v>
      </c>
      <c r="BA31" s="28">
        <v>0.41776999999999997</v>
      </c>
      <c r="BB31" s="24">
        <v>0.80803999999999998</v>
      </c>
      <c r="BC31" s="24">
        <v>0.87983</v>
      </c>
      <c r="BD31" s="27">
        <v>0.83574000000000004</v>
      </c>
      <c r="BE31" s="25">
        <v>0.70140000000000002</v>
      </c>
    </row>
    <row r="32" spans="1:57" s="16" customFormat="1" ht="14" customHeight="1" x14ac:dyDescent="0.45">
      <c r="A32" s="46" t="s">
        <v>49</v>
      </c>
      <c r="B32" s="55" t="s">
        <v>66</v>
      </c>
      <c r="C32" s="49" t="s">
        <v>22</v>
      </c>
      <c r="D32" s="49" t="s">
        <v>23</v>
      </c>
      <c r="E32" s="55" t="s">
        <v>39</v>
      </c>
      <c r="F32" s="49" t="s">
        <v>20</v>
      </c>
      <c r="G32" s="51" t="s">
        <v>55</v>
      </c>
      <c r="H32" s="17">
        <v>0.38080999999999998</v>
      </c>
      <c r="I32" s="16">
        <v>0.74446999999999997</v>
      </c>
      <c r="J32" s="16">
        <v>0.84426000000000001</v>
      </c>
      <c r="K32" s="16">
        <v>0.86414999999999997</v>
      </c>
      <c r="L32" s="18">
        <v>0.85326999999999997</v>
      </c>
      <c r="M32" s="19">
        <v>0.31509999999999999</v>
      </c>
      <c r="N32" s="16">
        <v>0.69228000000000001</v>
      </c>
      <c r="O32" s="16">
        <v>0.83821000000000001</v>
      </c>
      <c r="P32" s="18">
        <v>0.75778999999999996</v>
      </c>
      <c r="Q32" s="20">
        <v>0.78825000000000001</v>
      </c>
      <c r="R32" s="16">
        <v>0.49967</v>
      </c>
      <c r="S32" s="16">
        <v>0.79381000000000002</v>
      </c>
      <c r="T32" s="16">
        <v>0.89502000000000004</v>
      </c>
      <c r="U32" s="16">
        <v>0.87558999999999998</v>
      </c>
      <c r="V32" s="18">
        <v>0.88317999999999997</v>
      </c>
      <c r="W32" s="21">
        <v>0.52164999999999995</v>
      </c>
      <c r="X32" s="16">
        <v>0.8014</v>
      </c>
      <c r="Y32" s="16">
        <v>0.90700999999999998</v>
      </c>
      <c r="Z32" s="18">
        <v>0.84782000000000002</v>
      </c>
      <c r="AA32" s="16">
        <v>0.80686999999999998</v>
      </c>
      <c r="AB32" s="17">
        <v>0.16395000000000001</v>
      </c>
      <c r="AC32" s="16">
        <v>0.54186000000000001</v>
      </c>
      <c r="AD32" s="16">
        <v>0.66032999999999997</v>
      </c>
      <c r="AE32" s="16">
        <v>0.75109999999999999</v>
      </c>
      <c r="AF32" s="18">
        <v>0.70243999999999995</v>
      </c>
      <c r="AG32" s="21">
        <v>0.23133999999999999</v>
      </c>
      <c r="AH32" s="16">
        <v>0.63261999999999996</v>
      </c>
      <c r="AI32" s="16">
        <v>0.50868999999999998</v>
      </c>
      <c r="AJ32" s="18">
        <v>0.55701999999999996</v>
      </c>
      <c r="AK32" s="20">
        <v>0.43886999999999998</v>
      </c>
      <c r="AL32" s="16">
        <v>0.2823</v>
      </c>
      <c r="AM32" s="16">
        <v>0.68120999999999998</v>
      </c>
      <c r="AN32" s="16">
        <v>0.80391000000000001</v>
      </c>
      <c r="AO32" s="16">
        <v>0.81899999999999995</v>
      </c>
      <c r="AP32" s="18">
        <v>0.80827000000000004</v>
      </c>
      <c r="AQ32" s="19">
        <v>0.30954999999999999</v>
      </c>
      <c r="AR32" s="16">
        <v>0.73706000000000005</v>
      </c>
      <c r="AS32" s="16">
        <v>0.79613999999999996</v>
      </c>
      <c r="AT32" s="18">
        <v>0.76224999999999998</v>
      </c>
      <c r="AU32" s="16">
        <v>0.69394999999999996</v>
      </c>
      <c r="AV32" s="17">
        <v>0.40916999999999998</v>
      </c>
      <c r="AW32" s="16">
        <v>0.70975999999999995</v>
      </c>
      <c r="AX32" s="16">
        <v>0.85311000000000003</v>
      </c>
      <c r="AY32" s="16">
        <v>0.81137999999999999</v>
      </c>
      <c r="AZ32" s="18">
        <v>0.82501999999999998</v>
      </c>
      <c r="BA32" s="19">
        <v>0.34412999999999999</v>
      </c>
      <c r="BB32" s="16">
        <v>0.78666000000000003</v>
      </c>
      <c r="BC32" s="16">
        <v>0.89129000000000003</v>
      </c>
      <c r="BD32" s="18">
        <v>0.83084000000000002</v>
      </c>
      <c r="BE32" s="20">
        <v>0.70625000000000004</v>
      </c>
    </row>
    <row r="33" spans="1:58" x14ac:dyDescent="0.45">
      <c r="A33" s="47"/>
      <c r="B33" s="53"/>
      <c r="C33" s="44"/>
      <c r="D33" s="44"/>
      <c r="E33" s="53"/>
      <c r="F33" s="44"/>
      <c r="G33" s="44"/>
      <c r="H33" s="2">
        <v>0.35682999999999998</v>
      </c>
      <c r="I33" s="1">
        <v>0.74689000000000005</v>
      </c>
      <c r="J33" s="1">
        <v>0.84340999999999999</v>
      </c>
      <c r="K33" s="1">
        <v>0.86767000000000005</v>
      </c>
      <c r="L33" s="4">
        <v>0.85487000000000002</v>
      </c>
      <c r="M33" s="5">
        <v>0.35404999999999998</v>
      </c>
      <c r="N33" s="1">
        <v>0.70394000000000001</v>
      </c>
      <c r="O33" s="1">
        <v>0.82796999999999998</v>
      </c>
      <c r="P33" s="4">
        <v>0.76061000000000001</v>
      </c>
      <c r="Q33" s="3">
        <v>0.79874000000000001</v>
      </c>
      <c r="R33" s="1">
        <v>0.49963999999999997</v>
      </c>
      <c r="S33" s="1">
        <v>0.79781999999999997</v>
      </c>
      <c r="T33" s="1">
        <v>0.90512000000000004</v>
      </c>
      <c r="U33" s="1">
        <v>0.87165999999999999</v>
      </c>
      <c r="V33" s="4">
        <v>0.88543000000000005</v>
      </c>
      <c r="W33" s="6">
        <v>0.46711000000000003</v>
      </c>
      <c r="X33" s="1">
        <v>0.79991000000000001</v>
      </c>
      <c r="Y33" s="1">
        <v>0.91469999999999996</v>
      </c>
      <c r="Z33" s="4">
        <v>0.84919</v>
      </c>
      <c r="AA33" s="1">
        <v>0.80195000000000005</v>
      </c>
      <c r="AB33" s="2">
        <v>0.16127</v>
      </c>
      <c r="AC33" s="1">
        <v>0.54257999999999995</v>
      </c>
      <c r="AD33" s="1">
        <v>0.65858000000000005</v>
      </c>
      <c r="AE33" s="1">
        <v>0.75488999999999995</v>
      </c>
      <c r="AF33" s="4">
        <v>0.70309999999999995</v>
      </c>
      <c r="AG33" s="6">
        <v>0.25896000000000002</v>
      </c>
      <c r="AH33" s="1">
        <v>0.65364</v>
      </c>
      <c r="AI33" s="1">
        <v>0.49801000000000001</v>
      </c>
      <c r="AJ33" s="4">
        <v>0.55762</v>
      </c>
      <c r="AK33" s="3">
        <v>0.4446</v>
      </c>
      <c r="AL33" s="1">
        <v>0.28248000000000001</v>
      </c>
      <c r="AM33" s="1">
        <v>0.67905000000000004</v>
      </c>
      <c r="AN33" s="1">
        <v>0.80644000000000005</v>
      </c>
      <c r="AO33" s="1">
        <v>0.81291000000000002</v>
      </c>
      <c r="AP33" s="4">
        <v>0.80667</v>
      </c>
      <c r="AQ33" s="5">
        <v>0.32590999999999998</v>
      </c>
      <c r="AR33" s="1">
        <v>0.75053999999999998</v>
      </c>
      <c r="AS33" s="1">
        <v>0.78925999999999996</v>
      </c>
      <c r="AT33" s="4">
        <v>0.76629000000000003</v>
      </c>
      <c r="AU33" s="1">
        <v>0.68938999999999995</v>
      </c>
      <c r="AV33" s="2">
        <v>0.41153000000000001</v>
      </c>
      <c r="AW33" s="1">
        <v>0.70842000000000005</v>
      </c>
      <c r="AX33" s="1">
        <v>0.85619999999999996</v>
      </c>
      <c r="AY33" s="1">
        <v>0.80642999999999998</v>
      </c>
      <c r="AZ33" s="4">
        <v>0.82384000000000002</v>
      </c>
      <c r="BA33" s="5">
        <v>0.37091000000000002</v>
      </c>
      <c r="BB33" s="1">
        <v>0.80025000000000002</v>
      </c>
      <c r="BC33" s="1">
        <v>0.88632999999999995</v>
      </c>
      <c r="BD33" s="4">
        <v>0.83635000000000004</v>
      </c>
      <c r="BE33" s="3">
        <v>0.70450000000000002</v>
      </c>
    </row>
    <row r="34" spans="1:58" s="24" customFormat="1" x14ac:dyDescent="0.45">
      <c r="A34" s="48"/>
      <c r="B34" s="54"/>
      <c r="C34" s="50"/>
      <c r="D34" s="50"/>
      <c r="E34" s="54"/>
      <c r="F34" s="50"/>
      <c r="G34" s="50"/>
      <c r="H34" s="26">
        <v>0.34760000000000002</v>
      </c>
      <c r="I34" s="24">
        <v>0.76656999999999997</v>
      </c>
      <c r="J34" s="24">
        <v>0.85541</v>
      </c>
      <c r="K34" s="24">
        <v>0.88109000000000004</v>
      </c>
      <c r="L34" s="27">
        <v>0.86763000000000001</v>
      </c>
      <c r="M34" s="28">
        <v>0.31536999999999998</v>
      </c>
      <c r="N34" s="24">
        <v>0.70899999999999996</v>
      </c>
      <c r="O34" s="24">
        <v>0.83309</v>
      </c>
      <c r="P34" s="27">
        <v>0.76571999999999996</v>
      </c>
      <c r="Q34" s="25">
        <v>0.80239000000000005</v>
      </c>
      <c r="R34" s="24">
        <v>0.49802000000000002</v>
      </c>
      <c r="S34" s="24">
        <v>0.79364999999999997</v>
      </c>
      <c r="T34" s="24">
        <v>0.89924000000000004</v>
      </c>
      <c r="U34" s="24">
        <v>0.87119000000000002</v>
      </c>
      <c r="V34" s="27">
        <v>0.88195999999999997</v>
      </c>
      <c r="W34" s="29">
        <v>0.50909000000000004</v>
      </c>
      <c r="X34" s="24">
        <v>0.80888000000000004</v>
      </c>
      <c r="Y34" s="24">
        <v>0.89044000000000001</v>
      </c>
      <c r="Z34" s="27">
        <v>0.84243000000000001</v>
      </c>
      <c r="AA34" s="24">
        <v>0.80481999999999998</v>
      </c>
      <c r="AB34" s="26">
        <v>0.15254999999999999</v>
      </c>
      <c r="AC34" s="24">
        <v>0.54098000000000002</v>
      </c>
      <c r="AD34" s="24">
        <v>0.65273000000000003</v>
      </c>
      <c r="AE34" s="24">
        <v>0.76</v>
      </c>
      <c r="AF34" s="27">
        <v>0.70184999999999997</v>
      </c>
      <c r="AG34" s="29">
        <v>0.23682</v>
      </c>
      <c r="AH34" s="24">
        <v>0.64149999999999996</v>
      </c>
      <c r="AI34" s="24">
        <v>0.51010999999999995</v>
      </c>
      <c r="AJ34" s="27">
        <v>0.56081000000000003</v>
      </c>
      <c r="AK34" s="25">
        <v>0.44241000000000003</v>
      </c>
      <c r="AL34" s="24">
        <v>0.27090999999999998</v>
      </c>
      <c r="AM34" s="24">
        <v>0.67810000000000004</v>
      </c>
      <c r="AN34" s="24">
        <v>0.80403999999999998</v>
      </c>
      <c r="AO34" s="24">
        <v>0.81416999999999995</v>
      </c>
      <c r="AP34" s="27">
        <v>0.80608000000000002</v>
      </c>
      <c r="AQ34" s="28">
        <v>0.32385000000000003</v>
      </c>
      <c r="AR34" s="24">
        <v>0.74721000000000004</v>
      </c>
      <c r="AS34" s="24">
        <v>0.79783999999999999</v>
      </c>
      <c r="AT34" s="27">
        <v>0.76817000000000002</v>
      </c>
      <c r="AU34" s="24">
        <v>0.69033999999999995</v>
      </c>
      <c r="AV34" s="26">
        <v>0.39143</v>
      </c>
      <c r="AW34" s="24">
        <v>0.70599000000000001</v>
      </c>
      <c r="AX34" s="24">
        <v>0.84891000000000005</v>
      </c>
      <c r="AY34" s="24">
        <v>0.81008000000000002</v>
      </c>
      <c r="AZ34" s="27">
        <v>0.82201999999999997</v>
      </c>
      <c r="BA34" s="28">
        <v>0.34227000000000002</v>
      </c>
      <c r="BB34" s="24">
        <v>0.79605000000000004</v>
      </c>
      <c r="BC34" s="24">
        <v>0.89536000000000004</v>
      </c>
      <c r="BD34" s="27">
        <v>0.83692</v>
      </c>
      <c r="BE34" s="25">
        <v>0.70562999999999998</v>
      </c>
    </row>
    <row r="35" spans="1:58" s="16" customFormat="1" x14ac:dyDescent="0.45">
      <c r="A35" s="15"/>
      <c r="B35" s="51" t="s">
        <v>67</v>
      </c>
      <c r="C35" s="51"/>
      <c r="D35" s="49" t="s">
        <v>52</v>
      </c>
      <c r="E35" s="51"/>
      <c r="F35" s="51"/>
      <c r="G35" s="51" t="s">
        <v>58</v>
      </c>
      <c r="H35" s="17">
        <v>0.41041</v>
      </c>
      <c r="I35" s="16">
        <v>0.59819999999999995</v>
      </c>
      <c r="J35" s="16">
        <v>0.76239999999999997</v>
      </c>
      <c r="K35" s="16">
        <v>0.73516000000000004</v>
      </c>
      <c r="L35" s="18">
        <v>0.74826000000000004</v>
      </c>
      <c r="M35" s="19">
        <v>0.16023999999999999</v>
      </c>
      <c r="N35" s="16">
        <v>0.45118000000000003</v>
      </c>
      <c r="O35" s="16">
        <v>0.65746000000000004</v>
      </c>
      <c r="P35" s="18">
        <v>0.53478999999999999</v>
      </c>
      <c r="Q35" s="20">
        <v>0.68886000000000003</v>
      </c>
      <c r="R35" s="16">
        <v>0.48909000000000002</v>
      </c>
      <c r="S35" s="16">
        <v>0.79349999999999998</v>
      </c>
      <c r="T35" s="16">
        <v>0.90310000000000001</v>
      </c>
      <c r="U35" s="16">
        <v>0.86800999999999995</v>
      </c>
      <c r="V35" s="18">
        <v>0.88105999999999995</v>
      </c>
      <c r="W35" s="21">
        <v>0.16023999999999999</v>
      </c>
      <c r="X35" s="16">
        <v>0.79186999999999996</v>
      </c>
      <c r="Y35" s="16">
        <v>0.83489000000000002</v>
      </c>
      <c r="Z35" s="18">
        <v>0.81032999999999999</v>
      </c>
      <c r="AA35" s="16">
        <v>0.81915000000000004</v>
      </c>
      <c r="AB35" s="17">
        <v>0.13241</v>
      </c>
      <c r="AC35" s="16">
        <v>0.16575999999999999</v>
      </c>
      <c r="AD35" s="16">
        <v>0.31435999999999997</v>
      </c>
      <c r="AE35" s="16">
        <v>0.25955</v>
      </c>
      <c r="AF35" s="18">
        <v>0.28364</v>
      </c>
      <c r="AG35" s="21">
        <v>0.12202</v>
      </c>
      <c r="AH35" s="16">
        <v>0.2525</v>
      </c>
      <c r="AI35" s="16">
        <v>0.16924</v>
      </c>
      <c r="AJ35" s="18">
        <v>0.19917000000000001</v>
      </c>
      <c r="AK35" s="20">
        <v>0.32900000000000001</v>
      </c>
      <c r="AL35" s="16">
        <v>0.20909</v>
      </c>
      <c r="AM35" s="16">
        <v>0.20029</v>
      </c>
      <c r="AN35" s="16">
        <v>0.40669</v>
      </c>
      <c r="AO35" s="16">
        <v>0.27805999999999997</v>
      </c>
      <c r="AP35" s="18">
        <v>0.32538</v>
      </c>
      <c r="AQ35" s="19">
        <v>0.15695999999999999</v>
      </c>
      <c r="AR35" s="16">
        <v>0.28663</v>
      </c>
      <c r="AS35" s="16">
        <v>0.26005</v>
      </c>
      <c r="AT35" s="18">
        <v>0.26544000000000001</v>
      </c>
      <c r="AU35" s="16">
        <v>0.50487000000000004</v>
      </c>
      <c r="AV35" s="17">
        <v>0.27382000000000001</v>
      </c>
      <c r="AW35" s="16">
        <v>0.15472</v>
      </c>
      <c r="AX35" s="16">
        <v>0.31611</v>
      </c>
      <c r="AY35" s="16">
        <v>0.21870000000000001</v>
      </c>
      <c r="AZ35" s="18">
        <v>0.24843000000000001</v>
      </c>
      <c r="BA35" s="19">
        <v>0.14878</v>
      </c>
      <c r="BB35" s="16">
        <v>0.26036999999999999</v>
      </c>
      <c r="BC35" s="16">
        <v>0.24993000000000001</v>
      </c>
      <c r="BD35" s="18">
        <v>0.24095</v>
      </c>
      <c r="BE35" s="20">
        <v>0.46493000000000001</v>
      </c>
      <c r="BF35" s="16">
        <v>1714076</v>
      </c>
    </row>
    <row r="36" spans="1:58" x14ac:dyDescent="0.45">
      <c r="A36" s="22"/>
      <c r="B36" s="44"/>
      <c r="C36" s="44"/>
      <c r="D36" s="44"/>
      <c r="E36" s="44"/>
      <c r="F36" s="44"/>
      <c r="G36" s="44"/>
      <c r="H36" s="2">
        <v>0.36908999999999997</v>
      </c>
      <c r="I36" s="1">
        <v>0.60050999999999999</v>
      </c>
      <c r="J36" s="1">
        <v>0.72897999999999996</v>
      </c>
      <c r="K36" s="1">
        <v>0.77354999999999996</v>
      </c>
      <c r="L36" s="4">
        <v>0.74995000000000001</v>
      </c>
      <c r="M36" s="5">
        <v>0.12726999999999999</v>
      </c>
      <c r="N36" s="1">
        <v>0.44968000000000002</v>
      </c>
      <c r="O36" s="1">
        <v>0.68359000000000003</v>
      </c>
      <c r="P36" s="4">
        <v>0.54179999999999995</v>
      </c>
      <c r="Q36" s="3">
        <v>0.70511999999999997</v>
      </c>
      <c r="R36" s="1">
        <v>0.52966999999999997</v>
      </c>
      <c r="S36" s="1">
        <v>0.82987999999999995</v>
      </c>
      <c r="T36" s="1">
        <v>0.91825999999999997</v>
      </c>
      <c r="U36" s="1">
        <v>0.89503999999999995</v>
      </c>
      <c r="V36" s="4">
        <v>0.90532000000000001</v>
      </c>
      <c r="W36" s="6">
        <v>0.19933999999999999</v>
      </c>
      <c r="X36" s="1">
        <v>0.80105000000000004</v>
      </c>
      <c r="Y36" s="1">
        <v>0.82623000000000002</v>
      </c>
      <c r="Z36" s="4">
        <v>0.81140999999999996</v>
      </c>
      <c r="AA36" s="1">
        <v>0.83345000000000002</v>
      </c>
      <c r="AB36" s="2">
        <v>0.11277</v>
      </c>
      <c r="AC36" s="1">
        <v>0.13855999999999999</v>
      </c>
      <c r="AD36" s="1">
        <v>0.25014999999999998</v>
      </c>
      <c r="AE36" s="1">
        <v>0.23472000000000001</v>
      </c>
      <c r="AF36" s="4">
        <v>0.24096000000000001</v>
      </c>
      <c r="AG36" s="6">
        <v>6.012E-2</v>
      </c>
      <c r="AH36" s="1">
        <v>0.17848</v>
      </c>
      <c r="AI36" s="1">
        <v>0.18482999999999999</v>
      </c>
      <c r="AJ36" s="4">
        <v>0.17427999999999999</v>
      </c>
      <c r="AK36" s="3">
        <v>0.29365999999999998</v>
      </c>
      <c r="AL36" s="1">
        <v>0.18965000000000001</v>
      </c>
      <c r="AM36" s="1">
        <v>0.1749</v>
      </c>
      <c r="AN36" s="1">
        <v>0.31735000000000002</v>
      </c>
      <c r="AO36" s="1">
        <v>0.27293000000000001</v>
      </c>
      <c r="AP36" s="4">
        <v>0.28839999999999999</v>
      </c>
      <c r="AQ36" s="5">
        <v>0.1525</v>
      </c>
      <c r="AR36" s="1">
        <v>0.23452000000000001</v>
      </c>
      <c r="AS36" s="1">
        <v>0.25475999999999999</v>
      </c>
      <c r="AT36" s="4">
        <v>0.23888000000000001</v>
      </c>
      <c r="AU36" s="1">
        <v>0.48308000000000001</v>
      </c>
      <c r="AV36" s="2">
        <v>0.39789000000000002</v>
      </c>
      <c r="AW36" s="1">
        <v>0.10885</v>
      </c>
      <c r="AX36" s="1">
        <v>0.25173000000000001</v>
      </c>
      <c r="AY36" s="1">
        <v>0.14477000000000001</v>
      </c>
      <c r="AZ36" s="4">
        <v>0.17748</v>
      </c>
      <c r="BA36" s="5">
        <v>0.18831000000000001</v>
      </c>
      <c r="BB36" s="1">
        <v>0.21890000000000001</v>
      </c>
      <c r="BC36" s="1">
        <v>0.18201000000000001</v>
      </c>
      <c r="BD36" s="4">
        <v>0.19145999999999999</v>
      </c>
      <c r="BE36" s="3">
        <v>0.44969999999999999</v>
      </c>
    </row>
    <row r="37" spans="1:58" s="24" customFormat="1" x14ac:dyDescent="0.45">
      <c r="A37" s="23" t="s">
        <v>60</v>
      </c>
      <c r="B37" s="44"/>
      <c r="C37" s="44"/>
      <c r="D37" s="44"/>
      <c r="E37" s="44"/>
      <c r="F37" s="44"/>
      <c r="G37" s="44"/>
      <c r="H37" s="26">
        <v>0.30303999999999998</v>
      </c>
      <c r="I37" s="24">
        <v>0.64707999999999999</v>
      </c>
      <c r="J37" s="24">
        <v>0.79444999999999999</v>
      </c>
      <c r="K37" s="24">
        <v>0.77842999999999996</v>
      </c>
      <c r="L37" s="27">
        <v>0.78564999999999996</v>
      </c>
      <c r="M37" s="28">
        <v>0.1124</v>
      </c>
      <c r="N37" s="24">
        <v>0.61790999999999996</v>
      </c>
      <c r="O37" s="24">
        <v>0.76188</v>
      </c>
      <c r="P37" s="27">
        <v>0.68164000000000002</v>
      </c>
      <c r="Q37" s="25">
        <v>0.73182999999999998</v>
      </c>
      <c r="R37" s="24">
        <v>0.41399999999999998</v>
      </c>
      <c r="S37" s="24">
        <v>0.79335</v>
      </c>
      <c r="T37" s="24">
        <v>0.92076999999999998</v>
      </c>
      <c r="U37" s="24">
        <v>0.85363</v>
      </c>
      <c r="V37" s="27">
        <v>0.88136000000000003</v>
      </c>
      <c r="W37" s="29">
        <v>0.18182000000000001</v>
      </c>
      <c r="X37" s="24">
        <v>0.84913000000000005</v>
      </c>
      <c r="Y37" s="24">
        <v>0.87556999999999996</v>
      </c>
      <c r="Z37" s="27">
        <v>0.85875999999999997</v>
      </c>
      <c r="AA37" s="24">
        <v>0.82699999999999996</v>
      </c>
      <c r="AB37" s="26">
        <v>0.12784000000000001</v>
      </c>
      <c r="AC37" s="24">
        <v>0.11123</v>
      </c>
      <c r="AD37" s="24">
        <v>0.23096</v>
      </c>
      <c r="AE37" s="24">
        <v>0.17699000000000001</v>
      </c>
      <c r="AF37" s="27">
        <v>0.19946</v>
      </c>
      <c r="AG37" s="29">
        <v>7.7920000000000003E-2</v>
      </c>
      <c r="AH37" s="24">
        <v>0.20904</v>
      </c>
      <c r="AI37" s="24">
        <v>0.14061999999999999</v>
      </c>
      <c r="AJ37" s="27">
        <v>0.16275999999999999</v>
      </c>
      <c r="AK37" s="25">
        <v>0.27457999999999999</v>
      </c>
      <c r="AL37" s="24">
        <v>0.20579</v>
      </c>
      <c r="AM37" s="24">
        <v>0.15462000000000001</v>
      </c>
      <c r="AN37" s="24">
        <v>0.30679000000000001</v>
      </c>
      <c r="AO37" s="24">
        <v>0.22911000000000001</v>
      </c>
      <c r="AP37" s="27">
        <v>0.25792999999999999</v>
      </c>
      <c r="AQ37" s="28">
        <v>0.14271</v>
      </c>
      <c r="AR37" s="24">
        <v>0.25889000000000001</v>
      </c>
      <c r="AS37" s="24">
        <v>0.24068999999999999</v>
      </c>
      <c r="AT37" s="27">
        <v>0.24515000000000001</v>
      </c>
      <c r="AU37" s="24">
        <v>0.47824</v>
      </c>
      <c r="AV37" s="26">
        <v>0.35344999999999999</v>
      </c>
      <c r="AW37" s="24">
        <v>7.6179999999999998E-2</v>
      </c>
      <c r="AX37" s="24">
        <v>0.21995999999999999</v>
      </c>
      <c r="AY37" s="24">
        <v>9.9750000000000005E-2</v>
      </c>
      <c r="AZ37" s="27">
        <v>0.12887999999999999</v>
      </c>
      <c r="BA37" s="28">
        <v>0.1384</v>
      </c>
      <c r="BB37" s="24">
        <v>0.19505</v>
      </c>
      <c r="BC37" s="24">
        <v>0.13983999999999999</v>
      </c>
      <c r="BD37" s="27">
        <v>0.15139</v>
      </c>
      <c r="BE37" s="25">
        <v>0.36668000000000001</v>
      </c>
    </row>
    <row r="38" spans="1:58" s="24" customFormat="1" x14ac:dyDescent="0.45">
      <c r="A38" s="30" t="s">
        <v>59</v>
      </c>
      <c r="B38" s="50"/>
      <c r="C38" s="50"/>
      <c r="D38" s="50"/>
      <c r="E38" s="50"/>
      <c r="F38" s="50"/>
      <c r="G38" s="50"/>
      <c r="H38" s="31">
        <v>0.12909000000000001</v>
      </c>
      <c r="I38" s="32">
        <v>0.67108999999999996</v>
      </c>
      <c r="J38" s="32">
        <v>0.81688000000000005</v>
      </c>
      <c r="K38" s="32">
        <v>0.79013</v>
      </c>
      <c r="L38" s="33">
        <v>0.80286000000000002</v>
      </c>
      <c r="M38" s="34">
        <v>0.11364</v>
      </c>
      <c r="N38" s="32">
        <v>0.65529999999999999</v>
      </c>
      <c r="O38" s="32">
        <v>0.75778000000000001</v>
      </c>
      <c r="P38" s="33">
        <v>0.70169999999999999</v>
      </c>
      <c r="Q38" s="35">
        <v>0.74680000000000002</v>
      </c>
      <c r="R38" s="32">
        <v>0.40382000000000001</v>
      </c>
      <c r="S38" s="32">
        <v>0.84624999999999995</v>
      </c>
      <c r="T38" s="32">
        <v>0.93127000000000004</v>
      </c>
      <c r="U38" s="32">
        <v>0.90188999999999997</v>
      </c>
      <c r="V38" s="33">
        <v>0.91547000000000001</v>
      </c>
      <c r="W38" s="36">
        <v>0.1618</v>
      </c>
      <c r="X38" s="32">
        <v>0.86651</v>
      </c>
      <c r="Y38" s="32">
        <v>0.89224999999999999</v>
      </c>
      <c r="Z38" s="33">
        <v>0.87758999999999998</v>
      </c>
      <c r="AA38" s="32">
        <v>0.85118000000000005</v>
      </c>
      <c r="AB38" s="31">
        <v>3.4279999999999998E-2</v>
      </c>
      <c r="AC38" s="32">
        <v>0.16449</v>
      </c>
      <c r="AD38" s="32">
        <v>0.30414999999999998</v>
      </c>
      <c r="AE38" s="32">
        <v>0.26456000000000002</v>
      </c>
      <c r="AF38" s="33">
        <v>0.28142</v>
      </c>
      <c r="AG38" s="36">
        <v>4.7019999999999999E-2</v>
      </c>
      <c r="AH38" s="32">
        <v>0.29793999999999998</v>
      </c>
      <c r="AI38" s="32">
        <v>0.20265</v>
      </c>
      <c r="AJ38" s="33">
        <v>0.23501</v>
      </c>
      <c r="AK38" s="35">
        <v>0.30618000000000001</v>
      </c>
      <c r="AL38" s="32">
        <v>8.9749999999999996E-2</v>
      </c>
      <c r="AM38" s="32">
        <v>0.26645999999999997</v>
      </c>
      <c r="AN38" s="32">
        <v>0.53754999999999997</v>
      </c>
      <c r="AO38" s="32">
        <v>0.34838000000000002</v>
      </c>
      <c r="AP38" s="33">
        <v>0.41167999999999999</v>
      </c>
      <c r="AQ38" s="34">
        <v>7.7270000000000005E-2</v>
      </c>
      <c r="AR38" s="32">
        <v>0.43448999999999999</v>
      </c>
      <c r="AS38" s="32">
        <v>0.34863</v>
      </c>
      <c r="AT38" s="33">
        <v>0.37404999999999999</v>
      </c>
      <c r="AU38" s="32">
        <v>0.51327999999999996</v>
      </c>
      <c r="AV38" s="31">
        <v>0.21415999999999999</v>
      </c>
      <c r="AW38" s="32">
        <v>0.24309</v>
      </c>
      <c r="AX38" s="32">
        <v>0.63556000000000001</v>
      </c>
      <c r="AY38" s="32">
        <v>0.27344000000000002</v>
      </c>
      <c r="AZ38" s="33">
        <v>0.36168</v>
      </c>
      <c r="BA38" s="34">
        <v>0.10946</v>
      </c>
      <c r="BB38" s="32">
        <v>0.55139000000000005</v>
      </c>
      <c r="BC38" s="32">
        <v>0.33951999999999999</v>
      </c>
      <c r="BD38" s="33">
        <v>0.39335999999999999</v>
      </c>
      <c r="BE38" s="35">
        <v>0.49547999999999998</v>
      </c>
    </row>
    <row r="39" spans="1:58" s="16" customFormat="1" x14ac:dyDescent="0.45">
      <c r="A39" s="15" t="s">
        <v>50</v>
      </c>
      <c r="B39" s="51" t="s">
        <v>67</v>
      </c>
      <c r="C39" s="51"/>
      <c r="D39" s="51" t="s">
        <v>0</v>
      </c>
      <c r="E39" s="51"/>
      <c r="F39" s="51"/>
      <c r="G39" s="51" t="s">
        <v>57</v>
      </c>
      <c r="H39" s="17">
        <v>0.24182000000000001</v>
      </c>
      <c r="I39" s="16">
        <v>0.63668999999999998</v>
      </c>
      <c r="J39" s="16">
        <v>0.78620999999999996</v>
      </c>
      <c r="K39" s="16">
        <v>0.77078000000000002</v>
      </c>
      <c r="L39" s="18">
        <v>0.77780000000000005</v>
      </c>
      <c r="M39" s="19">
        <v>0.16930999999999999</v>
      </c>
      <c r="N39" s="16">
        <v>0.47616999999999998</v>
      </c>
      <c r="O39" s="16">
        <v>0.71835000000000004</v>
      </c>
      <c r="P39" s="18">
        <v>0.57123999999999997</v>
      </c>
      <c r="Q39" s="20">
        <v>0.65802000000000005</v>
      </c>
      <c r="R39" s="16">
        <v>0.57957999999999998</v>
      </c>
      <c r="S39" s="16">
        <v>0.81899</v>
      </c>
      <c r="T39" s="16">
        <v>0.91456999999999999</v>
      </c>
      <c r="U39" s="16">
        <v>0.88468999999999998</v>
      </c>
      <c r="V39" s="18">
        <v>0.89902000000000004</v>
      </c>
      <c r="W39" s="21">
        <v>0.18945000000000001</v>
      </c>
      <c r="X39" s="16">
        <v>0.74707999999999997</v>
      </c>
      <c r="Y39" s="16">
        <v>0.79185000000000005</v>
      </c>
      <c r="Z39" s="18">
        <v>0.76327999999999996</v>
      </c>
      <c r="AA39" s="16">
        <v>0.79613</v>
      </c>
      <c r="AB39" s="17">
        <v>0.16250999999999999</v>
      </c>
      <c r="AC39" s="16">
        <v>0.17188999999999999</v>
      </c>
      <c r="AD39" s="16">
        <v>0.27807999999999999</v>
      </c>
      <c r="AE39" s="16">
        <v>0.30975999999999998</v>
      </c>
      <c r="AF39" s="18">
        <v>0.29232000000000002</v>
      </c>
      <c r="AG39" s="21">
        <v>7.9310000000000005E-2</v>
      </c>
      <c r="AH39" s="16">
        <v>0.22377</v>
      </c>
      <c r="AI39" s="16">
        <v>0.20735000000000001</v>
      </c>
      <c r="AJ39" s="18">
        <v>0.21085000000000001</v>
      </c>
      <c r="AK39" s="20">
        <v>0.31302000000000002</v>
      </c>
      <c r="AL39" s="16">
        <v>0.27488000000000001</v>
      </c>
      <c r="AM39" s="16">
        <v>0.25094</v>
      </c>
      <c r="AN39" s="16">
        <v>0.47217999999999999</v>
      </c>
      <c r="AO39" s="16">
        <v>0.34764</v>
      </c>
      <c r="AP39" s="18">
        <v>0.39071</v>
      </c>
      <c r="AQ39" s="19">
        <v>0.14985000000000001</v>
      </c>
      <c r="AR39" s="16">
        <v>0.34925</v>
      </c>
      <c r="AS39" s="16">
        <v>0.32629000000000002</v>
      </c>
      <c r="AT39" s="18">
        <v>0.33126</v>
      </c>
      <c r="AU39" s="16">
        <v>0.49696000000000001</v>
      </c>
      <c r="AV39" s="17">
        <v>0.42780000000000001</v>
      </c>
      <c r="AW39" s="16">
        <v>0.23441999999999999</v>
      </c>
      <c r="AX39" s="16">
        <v>0.38771</v>
      </c>
      <c r="AY39" s="16">
        <v>0.35092000000000001</v>
      </c>
      <c r="AZ39" s="18">
        <v>0.35881000000000002</v>
      </c>
      <c r="BA39" s="19">
        <v>0.16542000000000001</v>
      </c>
      <c r="BB39" s="16">
        <v>0.39112000000000002</v>
      </c>
      <c r="BC39" s="16">
        <v>0.34854000000000002</v>
      </c>
      <c r="BD39" s="18">
        <v>0.35159000000000001</v>
      </c>
      <c r="BE39" s="20">
        <v>0.54747999999999997</v>
      </c>
    </row>
    <row r="40" spans="1:58" x14ac:dyDescent="0.45">
      <c r="A40" s="22"/>
      <c r="B40" s="44"/>
      <c r="C40" s="44"/>
      <c r="D40" s="44"/>
      <c r="E40" s="44"/>
      <c r="F40" s="44"/>
      <c r="G40" s="44"/>
      <c r="H40" s="2">
        <v>0.19031000000000001</v>
      </c>
      <c r="I40" s="1">
        <v>0.65395999999999999</v>
      </c>
      <c r="J40" s="1">
        <v>0.79196</v>
      </c>
      <c r="K40" s="1">
        <v>0.79113999999999995</v>
      </c>
      <c r="L40" s="4">
        <v>0.79059999999999997</v>
      </c>
      <c r="M40" s="5">
        <v>0.2</v>
      </c>
      <c r="N40" s="1">
        <v>0.49684</v>
      </c>
      <c r="O40" s="1">
        <v>0.73607999999999996</v>
      </c>
      <c r="P40" s="4">
        <v>0.59121000000000001</v>
      </c>
      <c r="Q40" s="3">
        <v>0.66037999999999997</v>
      </c>
      <c r="R40" s="1">
        <v>0.38012000000000001</v>
      </c>
      <c r="S40" s="1">
        <v>0.82955000000000001</v>
      </c>
      <c r="T40" s="1">
        <v>0.95903000000000005</v>
      </c>
      <c r="U40" s="1">
        <v>0.86080000000000001</v>
      </c>
      <c r="V40" s="4">
        <v>0.90573999999999999</v>
      </c>
      <c r="W40" s="6">
        <v>0.39489000000000002</v>
      </c>
      <c r="X40" s="1">
        <v>0.87092999999999998</v>
      </c>
      <c r="Y40" s="1">
        <v>0.87197000000000002</v>
      </c>
      <c r="Z40" s="4">
        <v>0.87019000000000002</v>
      </c>
      <c r="AA40" s="1">
        <v>0.81915000000000004</v>
      </c>
      <c r="AB40" s="2">
        <v>6.1800000000000001E-2</v>
      </c>
      <c r="AC40" s="1">
        <v>0.22065000000000001</v>
      </c>
      <c r="AD40" s="1">
        <v>0.42032000000000003</v>
      </c>
      <c r="AE40" s="1">
        <v>0.31962000000000002</v>
      </c>
      <c r="AF40" s="4">
        <v>0.35985</v>
      </c>
      <c r="AG40" s="6">
        <v>0.16813</v>
      </c>
      <c r="AH40" s="1">
        <v>0.36113000000000001</v>
      </c>
      <c r="AI40" s="1">
        <v>0.24879000000000001</v>
      </c>
      <c r="AJ40" s="4">
        <v>0.28031</v>
      </c>
      <c r="AK40" s="3">
        <v>0.30911</v>
      </c>
      <c r="AL40" s="1">
        <v>8.8429999999999995E-2</v>
      </c>
      <c r="AM40" s="1">
        <v>0.37668000000000001</v>
      </c>
      <c r="AN40" s="1">
        <v>0.64153000000000004</v>
      </c>
      <c r="AO40" s="1">
        <v>0.47686000000000001</v>
      </c>
      <c r="AP40" s="4">
        <v>0.53908</v>
      </c>
      <c r="AQ40" s="5">
        <v>0.25</v>
      </c>
      <c r="AR40" s="1">
        <v>0.49514000000000002</v>
      </c>
      <c r="AS40" s="1">
        <v>0.46790999999999999</v>
      </c>
      <c r="AT40" s="4">
        <v>0.46972000000000003</v>
      </c>
      <c r="AU40" s="1">
        <v>0.55406999999999995</v>
      </c>
      <c r="AV40" s="2">
        <v>0.21415999999999999</v>
      </c>
      <c r="AW40" s="1">
        <v>0.33167999999999997</v>
      </c>
      <c r="AX40" s="1">
        <v>0.89241000000000004</v>
      </c>
      <c r="AY40" s="1">
        <v>0.34821000000000002</v>
      </c>
      <c r="AZ40" s="4">
        <v>0.48015000000000002</v>
      </c>
      <c r="BA40" s="5">
        <v>0.19239999999999999</v>
      </c>
      <c r="BB40" s="1">
        <v>0.65234999999999999</v>
      </c>
      <c r="BC40" s="1">
        <v>0.41819000000000001</v>
      </c>
      <c r="BD40" s="4">
        <v>0.47477999999999998</v>
      </c>
      <c r="BE40" s="3">
        <v>0.52707999999999999</v>
      </c>
    </row>
    <row r="41" spans="1:58" s="24" customFormat="1" x14ac:dyDescent="0.45">
      <c r="A41" s="23"/>
      <c r="B41" s="50"/>
      <c r="C41" s="50"/>
      <c r="D41" s="50"/>
      <c r="E41" s="50"/>
      <c r="F41" s="50"/>
      <c r="G41" s="50"/>
      <c r="H41" s="26">
        <v>0.27665000000000001</v>
      </c>
      <c r="I41" s="24">
        <v>0.60989000000000004</v>
      </c>
      <c r="J41" s="24">
        <v>0.73977000000000004</v>
      </c>
      <c r="K41" s="24">
        <v>0.77610000000000001</v>
      </c>
      <c r="L41" s="27">
        <v>0.75726000000000004</v>
      </c>
      <c r="M41" s="28">
        <v>0.14582999999999999</v>
      </c>
      <c r="N41" s="24">
        <v>0.43153999999999998</v>
      </c>
      <c r="O41" s="24">
        <v>0.71697999999999995</v>
      </c>
      <c r="P41" s="27">
        <v>0.53756000000000004</v>
      </c>
      <c r="Q41" s="25">
        <v>0.66215000000000002</v>
      </c>
      <c r="R41" s="24">
        <v>0.38024000000000002</v>
      </c>
      <c r="S41" s="24">
        <v>0.83116999999999996</v>
      </c>
      <c r="T41" s="24">
        <v>0.92276000000000002</v>
      </c>
      <c r="U41" s="24">
        <v>0.89373000000000002</v>
      </c>
      <c r="V41" s="27">
        <v>0.90647999999999995</v>
      </c>
      <c r="W41" s="29">
        <v>0.27405000000000002</v>
      </c>
      <c r="X41" s="24">
        <v>0.82408000000000003</v>
      </c>
      <c r="Y41" s="24">
        <v>0.83699999999999997</v>
      </c>
      <c r="Z41" s="27">
        <v>0.82826</v>
      </c>
      <c r="AA41" s="24">
        <v>0.81337999999999999</v>
      </c>
      <c r="AB41" s="26">
        <v>0.17709</v>
      </c>
      <c r="AC41" s="24">
        <v>0.16377</v>
      </c>
      <c r="AD41" s="24">
        <v>0.32036999999999999</v>
      </c>
      <c r="AE41" s="24">
        <v>0.25069999999999998</v>
      </c>
      <c r="AF41" s="27">
        <v>0.2802</v>
      </c>
      <c r="AG41" s="29">
        <v>7.6179999999999998E-2</v>
      </c>
      <c r="AH41" s="24">
        <v>0.21967</v>
      </c>
      <c r="AI41" s="24">
        <v>0.20655999999999999</v>
      </c>
      <c r="AJ41" s="27">
        <v>0.20397000000000001</v>
      </c>
      <c r="AK41" s="25">
        <v>0.28260000000000002</v>
      </c>
      <c r="AL41" s="24">
        <v>0.25306000000000001</v>
      </c>
      <c r="AM41" s="24">
        <v>0.22373999999999999</v>
      </c>
      <c r="AN41" s="24">
        <v>0.48420000000000002</v>
      </c>
      <c r="AO41" s="24">
        <v>0.28860999999999998</v>
      </c>
      <c r="AP41" s="27">
        <v>0.35641</v>
      </c>
      <c r="AQ41" s="28">
        <v>0.18223</v>
      </c>
      <c r="AR41" s="24">
        <v>0.33606000000000003</v>
      </c>
      <c r="AS41" s="24">
        <v>0.27936</v>
      </c>
      <c r="AT41" s="27">
        <v>0.29794999999999999</v>
      </c>
      <c r="AU41" s="24">
        <v>0.48192000000000002</v>
      </c>
      <c r="AV41" s="26">
        <v>0.33561999999999997</v>
      </c>
      <c r="AW41" s="24">
        <v>0.22564000000000001</v>
      </c>
      <c r="AX41" s="24">
        <v>0.48348999999999998</v>
      </c>
      <c r="AY41" s="24">
        <v>0.29088000000000003</v>
      </c>
      <c r="AZ41" s="27">
        <v>0.34161999999999998</v>
      </c>
      <c r="BA41" s="28">
        <v>0.23533000000000001</v>
      </c>
      <c r="BB41" s="24">
        <v>0.37392999999999998</v>
      </c>
      <c r="BC41" s="24">
        <v>0.31961000000000001</v>
      </c>
      <c r="BD41" s="27">
        <v>0.31019000000000002</v>
      </c>
      <c r="BE41" s="25">
        <v>0.46931</v>
      </c>
    </row>
    <row r="42" spans="1:58" s="16" customFormat="1" x14ac:dyDescent="0.45">
      <c r="A42" s="15"/>
      <c r="B42" s="51" t="s">
        <v>65</v>
      </c>
      <c r="C42" s="52" t="s">
        <v>21</v>
      </c>
      <c r="D42" s="55" t="s">
        <v>38</v>
      </c>
      <c r="E42" s="51" t="s">
        <v>19</v>
      </c>
      <c r="F42" s="52" t="s">
        <v>25</v>
      </c>
      <c r="G42" s="51" t="s">
        <v>54</v>
      </c>
      <c r="H42" s="17">
        <v>0.37246000000000001</v>
      </c>
      <c r="I42" s="16">
        <v>0.70704999999999996</v>
      </c>
      <c r="J42" s="16">
        <v>0.8327</v>
      </c>
      <c r="K42" s="16">
        <v>0.82352999999999998</v>
      </c>
      <c r="L42" s="18">
        <v>0.82799</v>
      </c>
      <c r="M42" s="19">
        <v>0.55933999999999995</v>
      </c>
      <c r="N42" s="16">
        <v>0.15376999999999999</v>
      </c>
      <c r="O42" s="16">
        <v>0.93464999999999998</v>
      </c>
      <c r="P42" s="18">
        <v>0.26362999999999998</v>
      </c>
      <c r="Q42" s="20">
        <v>0.19117999999999999</v>
      </c>
      <c r="R42" s="16">
        <v>0.48908000000000001</v>
      </c>
      <c r="S42" s="16">
        <v>0.82613000000000003</v>
      </c>
      <c r="T42" s="16">
        <v>0.93862999999999996</v>
      </c>
      <c r="U42" s="16">
        <v>0.87487000000000004</v>
      </c>
      <c r="V42" s="18">
        <v>0.90390999999999999</v>
      </c>
      <c r="W42" s="21">
        <v>0.33817999999999998</v>
      </c>
      <c r="X42" s="16">
        <v>0.15758</v>
      </c>
      <c r="Y42" s="16">
        <v>0.96436999999999995</v>
      </c>
      <c r="Z42" s="18">
        <v>0.26923999999999998</v>
      </c>
      <c r="AA42" s="16">
        <v>0.18375</v>
      </c>
      <c r="AB42" s="17">
        <v>1E-3</v>
      </c>
      <c r="AC42" s="16">
        <v>5.5030000000000003E-2</v>
      </c>
      <c r="AD42" s="16">
        <v>5.5030000000000003E-2</v>
      </c>
      <c r="AE42" s="16">
        <v>1</v>
      </c>
      <c r="AF42" s="18">
        <v>0.10419</v>
      </c>
      <c r="AG42" s="21">
        <v>0.88612000000000002</v>
      </c>
      <c r="AH42" s="16">
        <v>0.40066000000000002</v>
      </c>
      <c r="AI42" s="16">
        <v>0.44955000000000001</v>
      </c>
      <c r="AJ42" s="18">
        <v>0.41909000000000002</v>
      </c>
      <c r="AK42" s="20">
        <v>0.22556999999999999</v>
      </c>
      <c r="AL42" s="16">
        <v>0.28999999999999998</v>
      </c>
      <c r="AM42" s="16">
        <v>0.49064999999999998</v>
      </c>
      <c r="AN42" s="16">
        <v>0.70401999999999998</v>
      </c>
      <c r="AO42" s="16">
        <v>0.62407000000000001</v>
      </c>
      <c r="AP42" s="18">
        <v>0.65447</v>
      </c>
      <c r="AQ42" s="19">
        <v>0.90810000000000002</v>
      </c>
      <c r="AR42" s="16">
        <v>0.52166000000000001</v>
      </c>
      <c r="AS42" s="16">
        <v>0.69915000000000005</v>
      </c>
      <c r="AT42" s="18">
        <v>0.58450999999999997</v>
      </c>
      <c r="AU42" s="16">
        <v>0.49573</v>
      </c>
      <c r="AV42" s="17">
        <v>0.39268999999999998</v>
      </c>
      <c r="AW42" s="16">
        <v>0.57618000000000003</v>
      </c>
      <c r="AX42" s="16">
        <v>0.81703000000000003</v>
      </c>
      <c r="AY42" s="16">
        <v>0.66908000000000001</v>
      </c>
      <c r="AZ42" s="18">
        <v>0.72160000000000002</v>
      </c>
      <c r="BA42" s="19">
        <v>0.90458000000000005</v>
      </c>
      <c r="BB42" s="16">
        <v>0.66771999999999998</v>
      </c>
      <c r="BC42" s="16">
        <v>0.80808999999999997</v>
      </c>
      <c r="BD42" s="18">
        <v>0.70843999999999996</v>
      </c>
      <c r="BE42" s="20">
        <v>0.55686999999999998</v>
      </c>
      <c r="BF42" s="16">
        <v>56517</v>
      </c>
    </row>
    <row r="43" spans="1:58" x14ac:dyDescent="0.45">
      <c r="A43" s="22"/>
      <c r="B43" s="44"/>
      <c r="C43" s="53"/>
      <c r="D43" s="53"/>
      <c r="E43" s="44"/>
      <c r="F43" s="53"/>
      <c r="G43" s="44"/>
      <c r="H43" s="2">
        <v>0.37514999999999998</v>
      </c>
      <c r="I43" s="1">
        <v>0.71226999999999996</v>
      </c>
      <c r="J43" s="1">
        <v>0.83960999999999997</v>
      </c>
      <c r="K43" s="1">
        <v>0.82382</v>
      </c>
      <c r="L43" s="4">
        <v>0.83157000000000003</v>
      </c>
      <c r="M43" s="5">
        <v>0.58016999999999996</v>
      </c>
      <c r="N43" s="1">
        <v>0.15415000000000001</v>
      </c>
      <c r="O43" s="1">
        <v>0.92827999999999999</v>
      </c>
      <c r="P43" s="4">
        <v>0.26388</v>
      </c>
      <c r="Q43" s="3">
        <v>0.19136</v>
      </c>
      <c r="R43" s="1">
        <v>0.49835000000000002</v>
      </c>
      <c r="S43" s="1">
        <v>0.82581000000000004</v>
      </c>
      <c r="T43" s="1">
        <v>0.94118999999999997</v>
      </c>
      <c r="U43" s="1">
        <v>0.87190000000000001</v>
      </c>
      <c r="V43" s="4">
        <v>0.90371000000000001</v>
      </c>
      <c r="W43" s="6">
        <v>0.35239999999999999</v>
      </c>
      <c r="X43" s="1">
        <v>0.15787999999999999</v>
      </c>
      <c r="Y43" s="1">
        <v>0.9617</v>
      </c>
      <c r="Z43" s="4">
        <v>0.26952999999999999</v>
      </c>
      <c r="AA43" s="1">
        <v>0.18431</v>
      </c>
      <c r="AB43" s="2">
        <v>1E-3</v>
      </c>
      <c r="AC43" s="1">
        <v>5.5030000000000003E-2</v>
      </c>
      <c r="AD43" s="1">
        <v>5.5030000000000003E-2</v>
      </c>
      <c r="AE43" s="1">
        <v>1</v>
      </c>
      <c r="AF43" s="4">
        <v>0.10419</v>
      </c>
      <c r="AG43" s="6">
        <v>0.88161</v>
      </c>
      <c r="AH43" s="1">
        <v>0.39318999999999998</v>
      </c>
      <c r="AI43" s="1">
        <v>0.45789000000000002</v>
      </c>
      <c r="AJ43" s="4">
        <v>0.41898000000000002</v>
      </c>
      <c r="AK43" s="3">
        <v>0.22589999999999999</v>
      </c>
      <c r="AL43" s="1">
        <v>0.29318</v>
      </c>
      <c r="AM43" s="1">
        <v>0.49653000000000003</v>
      </c>
      <c r="AN43" s="1">
        <v>0.71289000000000002</v>
      </c>
      <c r="AO43" s="1">
        <v>0.62661999999999995</v>
      </c>
      <c r="AP43" s="4">
        <v>0.65973000000000004</v>
      </c>
      <c r="AQ43" s="5">
        <v>0.90908999999999995</v>
      </c>
      <c r="AR43" s="1">
        <v>0.51688000000000001</v>
      </c>
      <c r="AS43" s="1">
        <v>0.69433999999999996</v>
      </c>
      <c r="AT43" s="4">
        <v>0.57977999999999996</v>
      </c>
      <c r="AU43" s="1">
        <v>0.49595</v>
      </c>
      <c r="AV43" s="2">
        <v>0.39789999999999998</v>
      </c>
      <c r="AW43" s="1">
        <v>0.59179999999999999</v>
      </c>
      <c r="AX43" s="1">
        <v>0.82498000000000005</v>
      </c>
      <c r="AY43" s="1">
        <v>0.68317000000000005</v>
      </c>
      <c r="AZ43" s="4">
        <v>0.73402999999999996</v>
      </c>
      <c r="BA43" s="5">
        <v>0.90908999999999995</v>
      </c>
      <c r="BB43" s="1">
        <v>0.66710000000000003</v>
      </c>
      <c r="BC43" s="1">
        <v>0.79800000000000004</v>
      </c>
      <c r="BD43" s="4">
        <v>0.70499999999999996</v>
      </c>
      <c r="BE43" s="3">
        <v>0.56318000000000001</v>
      </c>
    </row>
    <row r="44" spans="1:58" s="24" customFormat="1" x14ac:dyDescent="0.45">
      <c r="A44" s="23"/>
      <c r="B44" s="50"/>
      <c r="C44" s="54"/>
      <c r="D44" s="54"/>
      <c r="E44" s="50"/>
      <c r="F44" s="54"/>
      <c r="G44" s="50"/>
      <c r="H44" s="26">
        <v>0.39378999999999997</v>
      </c>
      <c r="I44" s="24">
        <v>0.71653</v>
      </c>
      <c r="J44" s="24">
        <v>0.84626000000000001</v>
      </c>
      <c r="K44" s="24">
        <v>0.82311000000000001</v>
      </c>
      <c r="L44" s="27">
        <v>0.83445999999999998</v>
      </c>
      <c r="M44" s="28">
        <v>0.59206999999999999</v>
      </c>
      <c r="N44" s="24">
        <v>0.15533</v>
      </c>
      <c r="O44" s="24">
        <v>0.92964999999999998</v>
      </c>
      <c r="P44" s="27">
        <v>0.26567000000000002</v>
      </c>
      <c r="Q44" s="25">
        <v>0.19277</v>
      </c>
      <c r="R44" s="24">
        <v>0.55049000000000003</v>
      </c>
      <c r="S44" s="24">
        <v>0.81823000000000001</v>
      </c>
      <c r="T44" s="24">
        <v>0.93774000000000002</v>
      </c>
      <c r="U44" s="24">
        <v>0.86607000000000001</v>
      </c>
      <c r="V44" s="27">
        <v>0.89907999999999999</v>
      </c>
      <c r="W44" s="29">
        <v>0.38017000000000001</v>
      </c>
      <c r="X44" s="24">
        <v>0.15751000000000001</v>
      </c>
      <c r="Y44" s="24">
        <v>0.95657000000000003</v>
      </c>
      <c r="Z44" s="27">
        <v>0.26869999999999999</v>
      </c>
      <c r="AA44" s="24">
        <v>0.1845</v>
      </c>
      <c r="AB44" s="26">
        <v>1E-3</v>
      </c>
      <c r="AC44" s="24">
        <v>5.5030000000000003E-2</v>
      </c>
      <c r="AD44" s="24">
        <v>5.5030000000000003E-2</v>
      </c>
      <c r="AE44" s="24">
        <v>1</v>
      </c>
      <c r="AF44" s="27">
        <v>0.10419</v>
      </c>
      <c r="AG44" s="29">
        <v>0.89837999999999996</v>
      </c>
      <c r="AH44" s="24">
        <v>0.41860000000000003</v>
      </c>
      <c r="AI44" s="24">
        <v>0.43284</v>
      </c>
      <c r="AJ44" s="27">
        <v>0.42193000000000003</v>
      </c>
      <c r="AK44" s="25">
        <v>0.22025</v>
      </c>
      <c r="AL44" s="24">
        <v>0.32934000000000002</v>
      </c>
      <c r="AM44" s="24">
        <v>0.49167</v>
      </c>
      <c r="AN44" s="24">
        <v>0.70698000000000005</v>
      </c>
      <c r="AO44" s="24">
        <v>0.62285999999999997</v>
      </c>
      <c r="AP44" s="27">
        <v>0.65532999999999997</v>
      </c>
      <c r="AQ44" s="28">
        <v>0.90983000000000003</v>
      </c>
      <c r="AR44" s="24">
        <v>0.49846000000000001</v>
      </c>
      <c r="AS44" s="24">
        <v>0.70345000000000002</v>
      </c>
      <c r="AT44" s="27">
        <v>0.57064000000000004</v>
      </c>
      <c r="AU44" s="24">
        <v>0.48015000000000002</v>
      </c>
      <c r="AV44" s="26">
        <v>0.45277000000000001</v>
      </c>
      <c r="AW44" s="24">
        <v>0.56235999999999997</v>
      </c>
      <c r="AX44" s="24">
        <v>0.78327999999999998</v>
      </c>
      <c r="AY44" s="24">
        <v>0.67664999999999997</v>
      </c>
      <c r="AZ44" s="27">
        <v>0.71096000000000004</v>
      </c>
      <c r="BA44" s="28">
        <v>0.91139000000000003</v>
      </c>
      <c r="BB44" s="24">
        <v>0.60697000000000001</v>
      </c>
      <c r="BC44" s="24">
        <v>0.80193000000000003</v>
      </c>
      <c r="BD44" s="27">
        <v>0.66671999999999998</v>
      </c>
      <c r="BE44" s="25">
        <v>0.55179</v>
      </c>
    </row>
    <row r="45" spans="1:58" s="16" customFormat="1" x14ac:dyDescent="0.45">
      <c r="A45" s="15"/>
      <c r="B45" s="51" t="s">
        <v>65</v>
      </c>
      <c r="C45" s="52" t="s">
        <v>21</v>
      </c>
      <c r="D45" s="49" t="s">
        <v>0</v>
      </c>
      <c r="E45" s="51" t="s">
        <v>19</v>
      </c>
      <c r="F45" s="52" t="s">
        <v>25</v>
      </c>
      <c r="G45" s="51" t="s">
        <v>54</v>
      </c>
      <c r="H45" s="17">
        <v>0.18212999999999999</v>
      </c>
      <c r="I45" s="16">
        <v>0.74387999999999999</v>
      </c>
      <c r="J45" s="16">
        <v>0.85057000000000005</v>
      </c>
      <c r="K45" s="16">
        <v>0.85519999999999996</v>
      </c>
      <c r="L45" s="18">
        <v>0.85267999999999999</v>
      </c>
      <c r="M45" s="19">
        <v>0.20363999999999999</v>
      </c>
      <c r="N45" s="16">
        <v>0.67639000000000005</v>
      </c>
      <c r="O45" s="16">
        <v>0.81247000000000003</v>
      </c>
      <c r="P45" s="18">
        <v>0.73782000000000003</v>
      </c>
      <c r="Q45" s="20">
        <v>0.78754000000000002</v>
      </c>
      <c r="R45" s="16">
        <v>0.40672999999999998</v>
      </c>
      <c r="S45" s="16">
        <v>0.84348000000000001</v>
      </c>
      <c r="T45" s="16">
        <v>0.95552000000000004</v>
      </c>
      <c r="U45" s="16">
        <v>0.87812000000000001</v>
      </c>
      <c r="V45" s="18">
        <v>0.91422000000000003</v>
      </c>
      <c r="W45" s="21">
        <v>0.32</v>
      </c>
      <c r="X45" s="16">
        <v>0.87133000000000005</v>
      </c>
      <c r="Y45" s="16">
        <v>0.88675000000000004</v>
      </c>
      <c r="Z45" s="18">
        <v>0.87797000000000003</v>
      </c>
      <c r="AA45" s="16">
        <v>0.83718999999999999</v>
      </c>
      <c r="AB45" s="17">
        <v>4.5719999999999997E-2</v>
      </c>
      <c r="AC45" s="16">
        <v>0.34048</v>
      </c>
      <c r="AD45" s="16">
        <v>0.54325999999999997</v>
      </c>
      <c r="AE45" s="16">
        <v>0.48255999999999999</v>
      </c>
      <c r="AF45" s="18">
        <v>0.50477000000000005</v>
      </c>
      <c r="AG45" s="21">
        <v>0.14194999999999999</v>
      </c>
      <c r="AH45" s="16">
        <v>0.47175</v>
      </c>
      <c r="AI45" s="16">
        <v>0.37018000000000001</v>
      </c>
      <c r="AJ45" s="18">
        <v>0.40509000000000001</v>
      </c>
      <c r="AK45" s="20">
        <v>0.35503000000000001</v>
      </c>
      <c r="AL45" s="16">
        <v>0.10165</v>
      </c>
      <c r="AM45" s="16">
        <v>0.51456000000000002</v>
      </c>
      <c r="AN45" s="16">
        <v>0.74644999999999995</v>
      </c>
      <c r="AO45" s="16">
        <v>0.62522999999999995</v>
      </c>
      <c r="AP45" s="18">
        <v>0.67513999999999996</v>
      </c>
      <c r="AQ45" s="19">
        <v>0.22550000000000001</v>
      </c>
      <c r="AR45" s="16">
        <v>0.64268000000000003</v>
      </c>
      <c r="AS45" s="16">
        <v>0.62473999999999996</v>
      </c>
      <c r="AT45" s="18">
        <v>0.62151999999999996</v>
      </c>
      <c r="AU45" s="16">
        <v>0.58635000000000004</v>
      </c>
      <c r="AV45" s="17">
        <v>0.15024000000000001</v>
      </c>
      <c r="AW45" s="16">
        <v>0.59057000000000004</v>
      </c>
      <c r="AX45" s="16">
        <v>0.81898000000000004</v>
      </c>
      <c r="AY45" s="16">
        <v>0.68039000000000005</v>
      </c>
      <c r="AZ45" s="18">
        <v>0.73214000000000001</v>
      </c>
      <c r="BA45" s="19">
        <v>0.25</v>
      </c>
      <c r="BB45" s="16">
        <v>0.73085</v>
      </c>
      <c r="BC45" s="16">
        <v>0.71160000000000001</v>
      </c>
      <c r="BD45" s="18">
        <v>0.70101000000000002</v>
      </c>
      <c r="BE45" s="20">
        <v>0.64473999999999998</v>
      </c>
    </row>
    <row r="46" spans="1:58" x14ac:dyDescent="0.45">
      <c r="A46" s="22"/>
      <c r="B46" s="44"/>
      <c r="C46" s="53"/>
      <c r="D46" s="44"/>
      <c r="E46" s="44"/>
      <c r="F46" s="53"/>
      <c r="G46" s="44"/>
      <c r="H46" s="2">
        <v>0.19091</v>
      </c>
      <c r="I46" s="1">
        <v>0.74299999999999999</v>
      </c>
      <c r="J46" s="1">
        <v>0.85750000000000004</v>
      </c>
      <c r="K46" s="1">
        <v>0.84743999999999997</v>
      </c>
      <c r="L46" s="4">
        <v>0.85221000000000002</v>
      </c>
      <c r="M46" s="5">
        <v>0.22908999999999999</v>
      </c>
      <c r="N46" s="1">
        <v>0.69479000000000002</v>
      </c>
      <c r="O46" s="1">
        <v>0.80015000000000003</v>
      </c>
      <c r="P46" s="4">
        <v>0.74311000000000005</v>
      </c>
      <c r="Q46" s="3">
        <v>0.78583999999999998</v>
      </c>
      <c r="R46" s="1">
        <v>0.44785999999999998</v>
      </c>
      <c r="S46" s="1">
        <v>0.84250999999999998</v>
      </c>
      <c r="T46" s="1">
        <v>0.95762999999999998</v>
      </c>
      <c r="U46" s="1">
        <v>0.87521000000000004</v>
      </c>
      <c r="V46" s="4">
        <v>0.91373000000000004</v>
      </c>
      <c r="W46" s="6">
        <v>0.28000000000000003</v>
      </c>
      <c r="X46" s="1">
        <v>0.86158999999999997</v>
      </c>
      <c r="Y46" s="1">
        <v>0.88646000000000003</v>
      </c>
      <c r="Z46" s="4">
        <v>0.87278999999999995</v>
      </c>
      <c r="AA46" s="1">
        <v>0.83518000000000003</v>
      </c>
      <c r="AB46" s="2">
        <v>4.623E-2</v>
      </c>
      <c r="AC46" s="1">
        <v>0.34382000000000001</v>
      </c>
      <c r="AD46" s="1">
        <v>0.55201</v>
      </c>
      <c r="AE46" s="1">
        <v>0.48153000000000001</v>
      </c>
      <c r="AF46" s="4">
        <v>0.50839000000000001</v>
      </c>
      <c r="AG46" s="6">
        <v>0.14291999999999999</v>
      </c>
      <c r="AH46" s="1">
        <v>0.47528999999999999</v>
      </c>
      <c r="AI46" s="1">
        <v>0.37480999999999998</v>
      </c>
      <c r="AJ46" s="4">
        <v>0.41037000000000001</v>
      </c>
      <c r="AK46" s="3">
        <v>0.3599</v>
      </c>
      <c r="AL46" s="1">
        <v>9.8739999999999994E-2</v>
      </c>
      <c r="AM46" s="1">
        <v>0.51497000000000004</v>
      </c>
      <c r="AN46" s="1">
        <v>0.74634999999999996</v>
      </c>
      <c r="AO46" s="1">
        <v>0.62644</v>
      </c>
      <c r="AP46" s="4">
        <v>0.67554999999999998</v>
      </c>
      <c r="AQ46" s="5">
        <v>0.21887000000000001</v>
      </c>
      <c r="AR46" s="1">
        <v>0.63902000000000003</v>
      </c>
      <c r="AS46" s="1">
        <v>0.62641999999999998</v>
      </c>
      <c r="AT46" s="4">
        <v>0.62019999999999997</v>
      </c>
      <c r="AU46" s="1">
        <v>0.57850999999999997</v>
      </c>
      <c r="AV46" s="2">
        <v>0.15182000000000001</v>
      </c>
      <c r="AW46" s="1">
        <v>0.60038000000000002</v>
      </c>
      <c r="AX46" s="1">
        <v>0.82535999999999998</v>
      </c>
      <c r="AY46" s="1">
        <v>0.68845000000000001</v>
      </c>
      <c r="AZ46" s="4">
        <v>0.73909999999999998</v>
      </c>
      <c r="BA46" s="5">
        <v>0.23966999999999999</v>
      </c>
      <c r="BB46" s="1">
        <v>0.74085999999999996</v>
      </c>
      <c r="BC46" s="1">
        <v>0.71445999999999998</v>
      </c>
      <c r="BD46" s="4">
        <v>0.70669000000000004</v>
      </c>
      <c r="BE46" s="3">
        <v>0.65005999999999997</v>
      </c>
    </row>
    <row r="47" spans="1:58" s="24" customFormat="1" x14ac:dyDescent="0.45">
      <c r="A47" s="23"/>
      <c r="B47" s="50"/>
      <c r="C47" s="54"/>
      <c r="D47" s="50"/>
      <c r="E47" s="50"/>
      <c r="F47" s="54"/>
      <c r="G47" s="50"/>
      <c r="H47" s="26">
        <v>0.19620000000000001</v>
      </c>
      <c r="I47" s="24">
        <v>0.74782000000000004</v>
      </c>
      <c r="J47" s="24">
        <v>0.86251</v>
      </c>
      <c r="K47" s="24">
        <v>0.84863999999999995</v>
      </c>
      <c r="L47" s="27">
        <v>0.85531999999999997</v>
      </c>
      <c r="M47" s="28">
        <v>0.24</v>
      </c>
      <c r="N47" s="24">
        <v>0.69657999999999998</v>
      </c>
      <c r="O47" s="24">
        <v>0.79373000000000005</v>
      </c>
      <c r="P47" s="27">
        <v>0.74165000000000003</v>
      </c>
      <c r="Q47" s="25">
        <v>0.79246000000000005</v>
      </c>
      <c r="R47" s="24">
        <v>0.44673000000000002</v>
      </c>
      <c r="S47" s="24">
        <v>0.84804999999999997</v>
      </c>
      <c r="T47" s="24">
        <v>0.95503000000000005</v>
      </c>
      <c r="U47" s="24">
        <v>0.88322000000000001</v>
      </c>
      <c r="V47" s="27">
        <v>0.91696</v>
      </c>
      <c r="W47" s="29">
        <v>0.28000000000000003</v>
      </c>
      <c r="X47" s="24">
        <v>0.86395</v>
      </c>
      <c r="Y47" s="24">
        <v>0.88727</v>
      </c>
      <c r="Z47" s="27">
        <v>0.87434000000000001</v>
      </c>
      <c r="AA47" s="24">
        <v>0.83977999999999997</v>
      </c>
      <c r="AB47" s="26">
        <v>4.5809999999999997E-2</v>
      </c>
      <c r="AC47" s="24">
        <v>0.35435</v>
      </c>
      <c r="AD47" s="24">
        <v>0.56230000000000002</v>
      </c>
      <c r="AE47" s="24">
        <v>0.49467</v>
      </c>
      <c r="AF47" s="27">
        <v>0.52046999999999999</v>
      </c>
      <c r="AG47" s="29">
        <v>0.12512000000000001</v>
      </c>
      <c r="AH47" s="24">
        <v>0.46883999999999998</v>
      </c>
      <c r="AI47" s="24">
        <v>0.38823999999999997</v>
      </c>
      <c r="AJ47" s="27">
        <v>0.41581000000000001</v>
      </c>
      <c r="AK47" s="25">
        <v>0.36304999999999998</v>
      </c>
      <c r="AL47" s="24">
        <v>0.10221</v>
      </c>
      <c r="AM47" s="24">
        <v>0.53327999999999998</v>
      </c>
      <c r="AN47" s="24">
        <v>0.75336999999999998</v>
      </c>
      <c r="AO47" s="24">
        <v>0.64627999999999997</v>
      </c>
      <c r="AP47" s="27">
        <v>0.69130999999999998</v>
      </c>
      <c r="AQ47" s="28">
        <v>0.22550000000000001</v>
      </c>
      <c r="AR47" s="24">
        <v>0.64678000000000002</v>
      </c>
      <c r="AS47" s="24">
        <v>0.64146000000000003</v>
      </c>
      <c r="AT47" s="27">
        <v>0.6341</v>
      </c>
      <c r="AU47" s="24">
        <v>0.59023999999999999</v>
      </c>
      <c r="AV47" s="26">
        <v>0.17685999999999999</v>
      </c>
      <c r="AW47" s="24">
        <v>0.63419000000000003</v>
      </c>
      <c r="AX47" s="24">
        <v>0.83974000000000004</v>
      </c>
      <c r="AY47" s="24">
        <v>0.72041999999999995</v>
      </c>
      <c r="AZ47" s="27">
        <v>0.76588000000000001</v>
      </c>
      <c r="BA47" s="28">
        <v>0.21967999999999999</v>
      </c>
      <c r="BB47" s="24">
        <v>0.76293999999999995</v>
      </c>
      <c r="BC47" s="24">
        <v>0.74692999999999998</v>
      </c>
      <c r="BD47" s="27">
        <v>0.73707</v>
      </c>
      <c r="BE47" s="25">
        <v>0.66300999999999999</v>
      </c>
    </row>
    <row r="48" spans="1:58" s="16" customFormat="1" x14ac:dyDescent="0.45">
      <c r="A48" s="15"/>
      <c r="B48" s="51" t="s">
        <v>65</v>
      </c>
      <c r="C48" s="52" t="s">
        <v>21</v>
      </c>
      <c r="D48" s="49" t="s">
        <v>0</v>
      </c>
      <c r="E48" s="55" t="s">
        <v>39</v>
      </c>
      <c r="F48" s="52" t="s">
        <v>25</v>
      </c>
      <c r="G48" s="51" t="s">
        <v>54</v>
      </c>
      <c r="H48" s="17">
        <v>0.30364000000000002</v>
      </c>
      <c r="I48" s="16">
        <v>0.74321000000000004</v>
      </c>
      <c r="J48" s="16">
        <v>0.85884000000000005</v>
      </c>
      <c r="K48" s="16">
        <v>0.84699000000000002</v>
      </c>
      <c r="L48" s="18">
        <v>0.85231000000000001</v>
      </c>
      <c r="M48" s="19">
        <v>0.26182</v>
      </c>
      <c r="N48" s="16">
        <v>0.77080000000000004</v>
      </c>
      <c r="O48" s="16">
        <v>0.84230000000000005</v>
      </c>
      <c r="P48" s="18">
        <v>0.80467</v>
      </c>
      <c r="Q48" s="20">
        <v>0.76032</v>
      </c>
      <c r="R48" s="16">
        <v>0.49764999999999998</v>
      </c>
      <c r="S48" s="16">
        <v>0.79651000000000005</v>
      </c>
      <c r="T48" s="16">
        <v>0.92495000000000005</v>
      </c>
      <c r="U48" s="16">
        <v>0.85097999999999996</v>
      </c>
      <c r="V48" s="18">
        <v>0.88526000000000005</v>
      </c>
      <c r="W48" s="21">
        <v>0.35297000000000001</v>
      </c>
      <c r="X48" s="16">
        <v>0.85958000000000001</v>
      </c>
      <c r="Y48" s="16">
        <v>0.89690000000000003</v>
      </c>
      <c r="Z48" s="18">
        <v>0.87619999999999998</v>
      </c>
      <c r="AA48" s="16">
        <v>0.77898000000000001</v>
      </c>
      <c r="AB48" s="17">
        <v>0.16213</v>
      </c>
      <c r="AC48" s="16">
        <v>0.53800000000000003</v>
      </c>
      <c r="AD48" s="16">
        <v>0.65769</v>
      </c>
      <c r="AE48" s="16">
        <v>0.74675999999999998</v>
      </c>
      <c r="AF48" s="18">
        <v>0.69913999999999998</v>
      </c>
      <c r="AG48" s="21">
        <v>0.18859999999999999</v>
      </c>
      <c r="AH48" s="16">
        <v>0.66288000000000002</v>
      </c>
      <c r="AI48" s="16">
        <v>0.45710000000000001</v>
      </c>
      <c r="AJ48" s="18">
        <v>0.53554000000000002</v>
      </c>
      <c r="AK48" s="20">
        <v>0.44449</v>
      </c>
      <c r="AL48" s="16">
        <v>0.26438</v>
      </c>
      <c r="AM48" s="16">
        <v>0.66035999999999995</v>
      </c>
      <c r="AN48" s="16">
        <v>0.79803999999999997</v>
      </c>
      <c r="AO48" s="16">
        <v>0.79296</v>
      </c>
      <c r="AP48" s="18">
        <v>0.79293000000000002</v>
      </c>
      <c r="AQ48" s="19">
        <v>0.23469000000000001</v>
      </c>
      <c r="AR48" s="16">
        <v>0.76768000000000003</v>
      </c>
      <c r="AS48" s="16">
        <v>0.77192000000000005</v>
      </c>
      <c r="AT48" s="18">
        <v>0.76605000000000001</v>
      </c>
      <c r="AU48" s="16">
        <v>0.66673000000000004</v>
      </c>
      <c r="AV48" s="17">
        <v>0.4</v>
      </c>
      <c r="AW48" s="16">
        <v>0.70213000000000003</v>
      </c>
      <c r="AX48" s="16">
        <v>0.85333000000000003</v>
      </c>
      <c r="AY48" s="16">
        <v>0.79893999999999998</v>
      </c>
      <c r="AZ48" s="18">
        <v>0.81933999999999996</v>
      </c>
      <c r="BA48" s="19">
        <v>0.23635999999999999</v>
      </c>
      <c r="BB48" s="16">
        <v>0.82293000000000005</v>
      </c>
      <c r="BC48" s="16">
        <v>0.86441999999999997</v>
      </c>
      <c r="BD48" s="18">
        <v>0.83772999999999997</v>
      </c>
      <c r="BE48" s="20">
        <v>0.69077</v>
      </c>
    </row>
    <row r="49" spans="1:57" x14ac:dyDescent="0.45">
      <c r="A49" s="22"/>
      <c r="B49" s="44"/>
      <c r="C49" s="53"/>
      <c r="D49" s="44"/>
      <c r="E49" s="53"/>
      <c r="F49" s="53"/>
      <c r="G49" s="44"/>
      <c r="H49" s="2">
        <v>0.29293999999999998</v>
      </c>
      <c r="I49" s="1">
        <v>0.74580999999999997</v>
      </c>
      <c r="J49" s="1">
        <v>0.85511999999999999</v>
      </c>
      <c r="K49" s="1">
        <v>0.85411000000000004</v>
      </c>
      <c r="L49" s="4">
        <v>0.85404999999999998</v>
      </c>
      <c r="M49" s="5">
        <v>0.24364</v>
      </c>
      <c r="N49" s="1">
        <v>0.76371</v>
      </c>
      <c r="O49" s="1">
        <v>0.85296000000000005</v>
      </c>
      <c r="P49" s="4">
        <v>0.80557000000000001</v>
      </c>
      <c r="Q49" s="3">
        <v>0.76132999999999995</v>
      </c>
      <c r="R49" s="1">
        <v>0.47459000000000001</v>
      </c>
      <c r="S49" s="1">
        <v>0.80237000000000003</v>
      </c>
      <c r="T49" s="1">
        <v>0.92264000000000002</v>
      </c>
      <c r="U49" s="1">
        <v>0.85938999999999999</v>
      </c>
      <c r="V49" s="4">
        <v>0.88878000000000001</v>
      </c>
      <c r="W49" s="6">
        <v>0.35537000000000002</v>
      </c>
      <c r="X49" s="1">
        <v>0.85606000000000004</v>
      </c>
      <c r="Y49" s="1">
        <v>0.89373999999999998</v>
      </c>
      <c r="Z49" s="4">
        <v>0.87251999999999996</v>
      </c>
      <c r="AA49" s="1">
        <v>0.78500999999999999</v>
      </c>
      <c r="AB49" s="2">
        <v>0.16508999999999999</v>
      </c>
      <c r="AC49" s="1">
        <v>0.53918999999999995</v>
      </c>
      <c r="AD49" s="1">
        <v>0.66252999999999995</v>
      </c>
      <c r="AE49" s="1">
        <v>0.74285999999999996</v>
      </c>
      <c r="AF49" s="4">
        <v>0.70011000000000001</v>
      </c>
      <c r="AG49" s="6">
        <v>0.17249</v>
      </c>
      <c r="AH49" s="1">
        <v>0.66956000000000004</v>
      </c>
      <c r="AI49" s="1">
        <v>0.45928000000000002</v>
      </c>
      <c r="AJ49" s="4">
        <v>0.53859000000000001</v>
      </c>
      <c r="AK49" s="3">
        <v>0.44406000000000001</v>
      </c>
      <c r="AL49" s="1">
        <v>0.26223000000000002</v>
      </c>
      <c r="AM49" s="1">
        <v>0.66234000000000004</v>
      </c>
      <c r="AN49" s="1">
        <v>0.79881999999999997</v>
      </c>
      <c r="AO49" s="1">
        <v>0.79513999999999996</v>
      </c>
      <c r="AP49" s="4">
        <v>0.79432999999999998</v>
      </c>
      <c r="AQ49" s="5">
        <v>0.22772999999999999</v>
      </c>
      <c r="AR49" s="1">
        <v>0.76810999999999996</v>
      </c>
      <c r="AS49" s="1">
        <v>0.77264999999999995</v>
      </c>
      <c r="AT49" s="4">
        <v>0.76646999999999998</v>
      </c>
      <c r="AU49" s="1">
        <v>0.67039000000000004</v>
      </c>
      <c r="AV49" s="2">
        <v>0.41259000000000001</v>
      </c>
      <c r="AW49" s="1">
        <v>0.70691999999999999</v>
      </c>
      <c r="AX49" s="1">
        <v>0.86195999999999995</v>
      </c>
      <c r="AY49" s="1">
        <v>0.79735</v>
      </c>
      <c r="AZ49" s="4">
        <v>0.82252999999999998</v>
      </c>
      <c r="BA49" s="5">
        <v>0.22742000000000001</v>
      </c>
      <c r="BB49" s="1">
        <v>0.83384000000000003</v>
      </c>
      <c r="BC49" s="1">
        <v>0.86282000000000003</v>
      </c>
      <c r="BD49" s="4">
        <v>0.84314</v>
      </c>
      <c r="BE49" s="3">
        <v>0.69006999999999996</v>
      </c>
    </row>
    <row r="50" spans="1:57" s="24" customFormat="1" x14ac:dyDescent="0.45">
      <c r="A50" s="23"/>
      <c r="B50" s="50"/>
      <c r="C50" s="54"/>
      <c r="D50" s="50"/>
      <c r="E50" s="54"/>
      <c r="F50" s="54"/>
      <c r="G50" s="50"/>
      <c r="H50" s="26">
        <v>0.31709999999999999</v>
      </c>
      <c r="I50" s="24">
        <v>0.74395999999999995</v>
      </c>
      <c r="J50" s="24">
        <v>0.86800999999999995</v>
      </c>
      <c r="K50" s="24">
        <v>0.83931999999999995</v>
      </c>
      <c r="L50" s="27">
        <v>0.85275999999999996</v>
      </c>
      <c r="M50" s="28">
        <v>0.27537</v>
      </c>
      <c r="N50" s="24">
        <v>0.78988999999999998</v>
      </c>
      <c r="O50" s="24">
        <v>0.83345000000000002</v>
      </c>
      <c r="P50" s="27">
        <v>0.81086999999999998</v>
      </c>
      <c r="Q50" s="25">
        <v>0.76100000000000001</v>
      </c>
      <c r="R50" s="24">
        <v>0.49217</v>
      </c>
      <c r="S50" s="24">
        <v>0.79684999999999995</v>
      </c>
      <c r="T50" s="24">
        <v>0.92393999999999998</v>
      </c>
      <c r="U50" s="24">
        <v>0.85213000000000005</v>
      </c>
      <c r="V50" s="27">
        <v>0.88534999999999997</v>
      </c>
      <c r="W50" s="29">
        <v>0.4</v>
      </c>
      <c r="X50" s="24">
        <v>0.86673999999999995</v>
      </c>
      <c r="Y50" s="24">
        <v>0.89571000000000001</v>
      </c>
      <c r="Z50" s="27">
        <v>0.87931999999999999</v>
      </c>
      <c r="AA50" s="24">
        <v>0.78173999999999999</v>
      </c>
      <c r="AB50" s="26">
        <v>0.17105000000000001</v>
      </c>
      <c r="AC50" s="24">
        <v>0.53817999999999999</v>
      </c>
      <c r="AD50" s="24">
        <v>0.66595000000000004</v>
      </c>
      <c r="AE50" s="24">
        <v>0.73668</v>
      </c>
      <c r="AF50" s="27">
        <v>0.69921</v>
      </c>
      <c r="AG50" s="29">
        <v>0.17074</v>
      </c>
      <c r="AH50" s="24">
        <v>0.66601999999999995</v>
      </c>
      <c r="AI50" s="24">
        <v>0.45721000000000001</v>
      </c>
      <c r="AJ50" s="27">
        <v>0.53590000000000004</v>
      </c>
      <c r="AK50" s="25">
        <v>0.44251000000000001</v>
      </c>
      <c r="AL50" s="24">
        <v>0.26064999999999999</v>
      </c>
      <c r="AM50" s="24">
        <v>0.66061000000000003</v>
      </c>
      <c r="AN50" s="24">
        <v>0.79632999999999998</v>
      </c>
      <c r="AO50" s="24">
        <v>0.79505000000000003</v>
      </c>
      <c r="AP50" s="27">
        <v>0.79313</v>
      </c>
      <c r="AQ50" s="28">
        <v>0.22103</v>
      </c>
      <c r="AR50" s="24">
        <v>0.76127999999999996</v>
      </c>
      <c r="AS50" s="24">
        <v>0.77871000000000001</v>
      </c>
      <c r="AT50" s="27">
        <v>0.76578999999999997</v>
      </c>
      <c r="AU50" s="24">
        <v>0.66849000000000003</v>
      </c>
      <c r="AV50" s="26">
        <v>0.4</v>
      </c>
      <c r="AW50" s="24">
        <v>0.70415000000000005</v>
      </c>
      <c r="AX50" s="24">
        <v>0.85721999999999998</v>
      </c>
      <c r="AY50" s="24">
        <v>0.79805000000000004</v>
      </c>
      <c r="AZ50" s="27">
        <v>0.82055999999999996</v>
      </c>
      <c r="BA50" s="28">
        <v>0.23635999999999999</v>
      </c>
      <c r="BB50" s="24">
        <v>0.83394999999999997</v>
      </c>
      <c r="BC50" s="24">
        <v>0.86509999999999998</v>
      </c>
      <c r="BD50" s="27">
        <v>0.84411000000000003</v>
      </c>
      <c r="BE50" s="25">
        <v>0.69220999999999999</v>
      </c>
    </row>
    <row r="51" spans="1:57" ht="14" customHeight="1" x14ac:dyDescent="0.45">
      <c r="A51" s="14"/>
      <c r="B51" s="44"/>
      <c r="C51" s="45"/>
      <c r="D51" s="45"/>
      <c r="E51" s="44"/>
      <c r="F51" s="44"/>
      <c r="G51" s="44"/>
    </row>
    <row r="52" spans="1:57" x14ac:dyDescent="0.45">
      <c r="B52" s="44"/>
      <c r="C52" s="45"/>
      <c r="D52" s="45"/>
      <c r="E52" s="44"/>
      <c r="F52" s="44"/>
      <c r="G52" s="44"/>
    </row>
    <row r="53" spans="1:57" x14ac:dyDescent="0.45">
      <c r="B53" s="44"/>
      <c r="C53" s="45"/>
      <c r="D53" s="45"/>
      <c r="E53" s="44"/>
      <c r="F53" s="44"/>
      <c r="G53" s="44"/>
    </row>
    <row r="55" spans="1:57" x14ac:dyDescent="0.45">
      <c r="B55" s="14" t="s">
        <v>37</v>
      </c>
    </row>
    <row r="56" spans="1:57" x14ac:dyDescent="0.45">
      <c r="B56" s="14" t="s">
        <v>61</v>
      </c>
    </row>
    <row r="57" spans="1:57" x14ac:dyDescent="0.45">
      <c r="B57" s="14" t="s">
        <v>64</v>
      </c>
    </row>
    <row r="61" spans="1:57" x14ac:dyDescent="0.45">
      <c r="H61" s="73" t="s">
        <v>118</v>
      </c>
      <c r="J61" s="14" t="s">
        <v>126</v>
      </c>
      <c r="L61" s="1"/>
      <c r="M61" s="1"/>
      <c r="P61" s="1"/>
    </row>
    <row r="62" spans="1:57" x14ac:dyDescent="0.45">
      <c r="I62" s="1" t="s">
        <v>119</v>
      </c>
      <c r="J62" s="1" t="s">
        <v>120</v>
      </c>
      <c r="K62" s="1" t="s">
        <v>121</v>
      </c>
      <c r="L62" s="1" t="s">
        <v>122</v>
      </c>
      <c r="M62" s="1" t="s">
        <v>123</v>
      </c>
      <c r="N62" s="1" t="s">
        <v>125</v>
      </c>
      <c r="O62" s="1" t="s">
        <v>127</v>
      </c>
    </row>
    <row r="63" spans="1:57" x14ac:dyDescent="0.45">
      <c r="I63" s="1">
        <v>44100</v>
      </c>
      <c r="J63" s="1">
        <v>301.32499999999999</v>
      </c>
      <c r="K63" s="1">
        <v>1.9059999999999999</v>
      </c>
      <c r="L63" s="5">
        <v>3.9740000000000002</v>
      </c>
      <c r="M63" s="5">
        <v>1.95E-2</v>
      </c>
      <c r="N63" s="1">
        <v>1692.2270000000001</v>
      </c>
      <c r="O63" s="1">
        <v>1338.105</v>
      </c>
    </row>
    <row r="64" spans="1:57" x14ac:dyDescent="0.45">
      <c r="I64" s="1">
        <v>44100</v>
      </c>
      <c r="J64" s="1">
        <v>301.32499999999999</v>
      </c>
      <c r="K64" s="1">
        <v>2.0470000000000002</v>
      </c>
      <c r="L64" s="5">
        <v>4.5910000000000002</v>
      </c>
      <c r="M64" s="5">
        <v>2.1999999999999999E-2</v>
      </c>
      <c r="N64" s="1">
        <v>1727.008</v>
      </c>
      <c r="O64" s="1">
        <v>1322.184</v>
      </c>
    </row>
    <row r="65" spans="1:15" x14ac:dyDescent="0.45">
      <c r="I65" s="1">
        <v>44100</v>
      </c>
      <c r="J65" s="1">
        <v>301.32499999999999</v>
      </c>
      <c r="K65" s="1">
        <v>1.9730000000000001</v>
      </c>
      <c r="L65" s="5">
        <v>3.927</v>
      </c>
      <c r="M65" s="5">
        <v>1.9599999999999999E-2</v>
      </c>
      <c r="N65" s="1">
        <v>1740.0940000000001</v>
      </c>
      <c r="O65" s="1">
        <v>1385.9690000000001</v>
      </c>
    </row>
    <row r="78" spans="1:15" x14ac:dyDescent="0.45">
      <c r="A78" s="1" t="s">
        <v>88</v>
      </c>
      <c r="B78" s="44" t="s">
        <v>76</v>
      </c>
      <c r="C78" s="44"/>
      <c r="D78" s="44" t="s">
        <v>77</v>
      </c>
      <c r="E78" s="44"/>
      <c r="F78" s="44" t="s">
        <v>78</v>
      </c>
      <c r="G78" s="57"/>
      <c r="H78" s="56" t="s">
        <v>79</v>
      </c>
      <c r="I78" s="44"/>
      <c r="J78" s="44" t="s">
        <v>80</v>
      </c>
      <c r="K78" s="44"/>
    </row>
    <row r="79" spans="1:15" x14ac:dyDescent="0.45">
      <c r="B79" s="1" t="s">
        <v>74</v>
      </c>
      <c r="C79" s="1" t="s">
        <v>75</v>
      </c>
      <c r="D79" s="1" t="s">
        <v>74</v>
      </c>
      <c r="E79" s="1" t="s">
        <v>75</v>
      </c>
      <c r="F79" s="1" t="s">
        <v>74</v>
      </c>
      <c r="G79" s="1" t="s">
        <v>75</v>
      </c>
      <c r="H79" s="2" t="s">
        <v>74</v>
      </c>
      <c r="I79" s="1" t="s">
        <v>75</v>
      </c>
      <c r="J79" s="1" t="s">
        <v>74</v>
      </c>
      <c r="K79" s="1" t="s">
        <v>75</v>
      </c>
    </row>
    <row r="80" spans="1:15" x14ac:dyDescent="0.45">
      <c r="A80" s="1" t="s">
        <v>68</v>
      </c>
      <c r="B80" s="1">
        <f>AVERAGE($L$4:$L$8)</f>
        <v>0.83891799999999994</v>
      </c>
      <c r="C80" s="1">
        <f>AVERAGE($P$4:$P$8)</f>
        <v>0.75135799999999997</v>
      </c>
      <c r="D80" s="1">
        <f>AVERAGE($V$4:$V$8)</f>
        <v>0.90954000000000002</v>
      </c>
      <c r="E80" s="1">
        <f>AVERAGE($Z$4:$Z$8)</f>
        <v>0.87459799999999999</v>
      </c>
      <c r="F80" s="1">
        <f>AVERAGE($AF$4:$AF$8)</f>
        <v>0.62092399999999992</v>
      </c>
      <c r="G80" s="1">
        <f>AVERAGE($AJ$4:$AJ$8)</f>
        <v>0.47992200000000002</v>
      </c>
      <c r="H80" s="2">
        <f>AVERAGE($AP$4:$AP$8)</f>
        <v>0.74885600000000008</v>
      </c>
      <c r="I80" s="1">
        <f>AVERAGE($AT$4:$AT$8)</f>
        <v>0.69882200000000005</v>
      </c>
      <c r="J80" s="1">
        <f>AVERAGE($AZ$4:$AZ$8)</f>
        <v>0.81000800000000006</v>
      </c>
      <c r="K80" s="1">
        <f>AVERAGE($BD$4:$BD$8)</f>
        <v>0.81984800000000002</v>
      </c>
    </row>
    <row r="81" spans="1:11" x14ac:dyDescent="0.45">
      <c r="A81" s="1" t="s">
        <v>81</v>
      </c>
      <c r="B81" s="1">
        <f>AVERAGE($L$11:$L$13)</f>
        <v>0.79822999999999988</v>
      </c>
      <c r="C81" s="1">
        <f>AVERAGE($P$11:$P$13)</f>
        <v>0.68168333333333331</v>
      </c>
      <c r="D81" s="1">
        <f>AVERAGE($V$11:$V$13)</f>
        <v>0.89451666666666663</v>
      </c>
      <c r="E81" s="1">
        <f>AVERAGE($Z$11:$Z$13)</f>
        <v>0.85318000000000005</v>
      </c>
      <c r="F81" s="1">
        <f>AVERAGE($AF$11:$AF$13)</f>
        <v>0.60741333333333325</v>
      </c>
      <c r="G81" s="1">
        <f>AVERAGE($AJ$11:$AJ$13)</f>
        <v>0.45651000000000003</v>
      </c>
      <c r="H81" s="2">
        <f>AVERAGE($AP$11:$AP$13)</f>
        <v>0.72590666666666659</v>
      </c>
      <c r="I81" s="1">
        <f>AVERAGE($AT$11:$AT$13)</f>
        <v>0.65644333333333327</v>
      </c>
      <c r="J81" s="1">
        <f>AVERAGE($AZ$11:$AZ$13)</f>
        <v>0.80836666666666668</v>
      </c>
      <c r="K81" s="1">
        <f>AVERAGE($BD$11:$BD$13)</f>
        <v>0.81169666666666662</v>
      </c>
    </row>
    <row r="82" spans="1:11" x14ac:dyDescent="0.45">
      <c r="A82" s="1" t="s">
        <v>69</v>
      </c>
      <c r="B82" s="1">
        <f>AVERAGE($L$14:$L$16)</f>
        <v>0.85842666666666678</v>
      </c>
      <c r="C82" s="1">
        <f>AVERAGE($P$14:$P$16)</f>
        <v>0.76386333333333345</v>
      </c>
      <c r="D82" s="1">
        <f>AVERAGE($V$14:$V$16)</f>
        <v>0.91084666666666669</v>
      </c>
      <c r="E82" s="1">
        <f>AVERAGE($Z$14:$Z$16)</f>
        <v>0.87797333333333327</v>
      </c>
      <c r="F82" s="1">
        <f>AVERAGE($AF$14:$AF$16)</f>
        <v>0.55635333333333337</v>
      </c>
      <c r="G82" s="1">
        <f>AVERAGE($AJ$14:$AJ$16)</f>
        <v>0.43644333333333335</v>
      </c>
      <c r="H82" s="2">
        <f>AVERAGE($AP$14:$AP$16)</f>
        <v>0.69525000000000003</v>
      </c>
      <c r="I82" s="1">
        <f>AVERAGE($AT$14:$AT$16)</f>
        <v>0.64116666666666666</v>
      </c>
      <c r="J82" s="1">
        <f>AVERAGE($AZ$14:$AZ$16)</f>
        <v>0.74975666666666674</v>
      </c>
      <c r="K82" s="1">
        <f>AVERAGE($BD$14:$BD$16)</f>
        <v>0.75219000000000003</v>
      </c>
    </row>
    <row r="83" spans="1:11" x14ac:dyDescent="0.45">
      <c r="A83" s="1" t="s">
        <v>91</v>
      </c>
      <c r="B83" s="1">
        <f>AVERAGE($L$17:$L$19)</f>
        <v>0.85456999999999994</v>
      </c>
      <c r="C83" s="1">
        <f>AVERAGE($P$17:$P$19)</f>
        <v>0.76080999999999988</v>
      </c>
      <c r="D83" s="1">
        <f>AVERAGE($V$17:$V$19)</f>
        <v>0.91348666666666667</v>
      </c>
      <c r="E83" s="1">
        <f>AVERAGE($Z$17:$Z$19)</f>
        <v>0.8824466666666666</v>
      </c>
      <c r="F83" s="1">
        <f>AVERAGE($AF$17:$AF$19)</f>
        <v>0.60563333333333336</v>
      </c>
      <c r="G83" s="1">
        <f>AVERAGE($AJ$17:$AJ$19)</f>
        <v>0.47149999999999997</v>
      </c>
      <c r="H83" s="2">
        <f>AVERAGE($AP$17:$AP$19)</f>
        <v>0.7273533333333333</v>
      </c>
      <c r="I83" s="1">
        <f>AVERAGE($AT$17:$AT$19)</f>
        <v>0.67398666666666662</v>
      </c>
      <c r="J83" s="1">
        <f>AVERAGE($AZ$17:$AZ$19)</f>
        <v>0.76679333333333333</v>
      </c>
      <c r="K83" s="1">
        <f>AVERAGE($BD$17:$BD$19)</f>
        <v>0.7412700000000001</v>
      </c>
    </row>
    <row r="84" spans="1:11" x14ac:dyDescent="0.45">
      <c r="A84" s="1" t="s">
        <v>70</v>
      </c>
      <c r="B84" s="1">
        <f>AVERAGE($L$20:$L$22)</f>
        <v>0.77994999999999992</v>
      </c>
      <c r="C84" s="1">
        <f>AVERAGE($P$20:$P$22)</f>
        <v>0.61959666666666668</v>
      </c>
      <c r="D84" s="1">
        <f>AVERAGE($V$20:$V$22)</f>
        <v>0.87157000000000007</v>
      </c>
      <c r="E84" s="1">
        <f>AVERAGE($Z$20:$Z$22)</f>
        <v>0.8270966666666667</v>
      </c>
      <c r="F84" s="1">
        <f>AVERAGE($AF$20:$AF$22)</f>
        <v>0.62313999999999992</v>
      </c>
      <c r="G84" s="1">
        <f>AVERAGE($AJ$20:$AJ$22)</f>
        <v>0.46689333333333333</v>
      </c>
      <c r="H84" s="2">
        <f>AVERAGE($AP$20:$AP$22)</f>
        <v>0.73871333333333322</v>
      </c>
      <c r="I84" s="1">
        <f>AVERAGE($AT$20:$AT$22)</f>
        <v>0.66710666666666663</v>
      </c>
      <c r="J84" s="1">
        <f>AVERAGE($AZ$20:$AZ$22)</f>
        <v>0.8019400000000001</v>
      </c>
      <c r="K84" s="1">
        <f>AVERAGE($BD$20:$BD$22)</f>
        <v>0.80297000000000007</v>
      </c>
    </row>
    <row r="85" spans="1:11" x14ac:dyDescent="0.45">
      <c r="A85" s="1" t="s">
        <v>71</v>
      </c>
      <c r="B85" s="1">
        <f>AVERAGE($L$23:$L$25)</f>
        <v>0.83795333333333322</v>
      </c>
      <c r="C85" s="1">
        <f>AVERAGE($P$23:$P$25)</f>
        <v>0.74548000000000003</v>
      </c>
      <c r="D85" s="1">
        <f>AVERAGE($V$23:$V$25)</f>
        <v>0.88728333333333331</v>
      </c>
      <c r="E85" s="1">
        <f>AVERAGE($Z$23:$Z$25)</f>
        <v>0.84318666666666664</v>
      </c>
      <c r="F85" s="1">
        <f>AVERAGE($AF$23:$AF$25)</f>
        <v>0.62619333333333327</v>
      </c>
      <c r="G85" s="1">
        <f>AVERAGE($AJ$23:$AJ$25)</f>
        <v>0.46301333333333333</v>
      </c>
      <c r="H85" s="2">
        <f>AVERAGE($AP$23:$AP$25)</f>
        <v>0.74573333333333336</v>
      </c>
      <c r="I85" s="1">
        <f>AVERAGE($AT$23:$AT$25)</f>
        <v>0.69037999999999988</v>
      </c>
      <c r="J85" s="1">
        <f>AVERAGE($AZ$23:$AZ$25)</f>
        <v>0.8039533333333333</v>
      </c>
      <c r="K85" s="1">
        <f>AVERAGE($BD$23:$BD$25)</f>
        <v>0.80042999999999997</v>
      </c>
    </row>
    <row r="86" spans="1:11" x14ac:dyDescent="0.45">
      <c r="A86" s="1" t="s">
        <v>72</v>
      </c>
      <c r="B86" s="1">
        <f>AVERAGE($L$26:$L$28)</f>
        <v>0.84757666666666653</v>
      </c>
      <c r="C86" s="1">
        <f>AVERAGE($P$26:$P$28)</f>
        <v>0.63175333333333328</v>
      </c>
      <c r="D86" s="1">
        <f>AVERAGE($V$26:$V$28)</f>
        <v>0.91160666666666668</v>
      </c>
      <c r="E86" s="1">
        <f>AVERAGE($Z$26:$Z$28)</f>
        <v>0.80934333333333341</v>
      </c>
      <c r="F86" s="1">
        <f>AVERAGE($AF$26:$AF$28)</f>
        <v>0.10419</v>
      </c>
      <c r="G86" s="1">
        <f>AVERAGE($AJ$26:$AJ$28)</f>
        <v>0.4323433333333333</v>
      </c>
      <c r="H86" s="2">
        <f>AVERAGE($AP$26:$AP$28)</f>
        <v>0.75543666666666665</v>
      </c>
      <c r="I86" s="1">
        <f>AVERAGE($AT$26:$AT$28)</f>
        <v>0.62920999999999994</v>
      </c>
      <c r="J86" s="1">
        <f>AVERAGE($AZ$26:$AZ$28)</f>
        <v>0.82161666666666677</v>
      </c>
      <c r="K86" s="1">
        <f>AVERAGE($BD$26:$BD$28)</f>
        <v>0.76381333333333334</v>
      </c>
    </row>
    <row r="87" spans="1:11" x14ac:dyDescent="0.45">
      <c r="A87" s="1" t="s">
        <v>73</v>
      </c>
      <c r="B87" s="1">
        <f>AVERAGE($L$29:$L$31)</f>
        <v>0.8586733333333334</v>
      </c>
      <c r="C87" s="1">
        <f>AVERAGE($P$29:$P$31)</f>
        <v>0.79721000000000009</v>
      </c>
      <c r="D87" s="1">
        <f>AVERAGE($V$29:$V$31)</f>
        <v>0.87591333333333343</v>
      </c>
      <c r="E87" s="1">
        <f>AVERAGE($Z$29:$Z$31)</f>
        <v>0.86767666666666665</v>
      </c>
      <c r="F87" s="1">
        <f>AVERAGE($AF$29:$AF$31)</f>
        <v>0.69263333333333321</v>
      </c>
      <c r="G87" s="1">
        <f>AVERAGE($AJ$29:$AJ$31)</f>
        <v>0.5529533333333333</v>
      </c>
      <c r="H87" s="2">
        <f>AVERAGE($AP$29:$AP$31)</f>
        <v>0.7940166666666667</v>
      </c>
      <c r="I87" s="1">
        <f>AVERAGE($AT$29:$AT$31)</f>
        <v>0.76644666666666661</v>
      </c>
      <c r="J87" s="1">
        <f>AVERAGE($AZ$29:$AZ$31)</f>
        <v>0.81912999999999991</v>
      </c>
      <c r="K87" s="1">
        <f>AVERAGE($BD$29:$BD$31)</f>
        <v>0.83972666666666662</v>
      </c>
    </row>
    <row r="88" spans="1:11" x14ac:dyDescent="0.45">
      <c r="A88" s="1" t="s">
        <v>82</v>
      </c>
      <c r="B88" s="1">
        <f>AVERAGE($L$32:$L$34)</f>
        <v>0.85858999999999996</v>
      </c>
      <c r="C88" s="1">
        <f>AVERAGE($P$32:$P$34)</f>
        <v>0.76137333333333324</v>
      </c>
      <c r="D88" s="1">
        <f>AVERAGE($V$32:$V$34)</f>
        <v>0.88352333333333333</v>
      </c>
      <c r="E88" s="1">
        <f>AVERAGE($Z$32:$Z$34)</f>
        <v>0.84648000000000001</v>
      </c>
      <c r="F88" s="1">
        <f>AVERAGE($AF$32:$AF$34)</f>
        <v>0.70246333333333322</v>
      </c>
      <c r="G88" s="1">
        <f>AVERAGE($AJ$32:$AJ$34)</f>
        <v>0.55848333333333333</v>
      </c>
      <c r="H88" s="2">
        <f>AVERAGE($AP$32:$AP$34)</f>
        <v>0.80700666666666665</v>
      </c>
      <c r="I88" s="1">
        <f>AVERAGE($AT$32:$AT$34)</f>
        <v>0.76556999999999997</v>
      </c>
      <c r="J88" s="1">
        <f>AVERAGE($AZ$32:$AZ$34)</f>
        <v>0.82362666666666673</v>
      </c>
      <c r="K88" s="1">
        <f>AVERAGE($BD$32:$BD$34)</f>
        <v>0.83470333333333346</v>
      </c>
    </row>
    <row r="89" spans="1:11" x14ac:dyDescent="0.45">
      <c r="A89" s="1" t="s">
        <v>83</v>
      </c>
      <c r="B89" s="1">
        <f>AVERAGE($L$35:$L$38)</f>
        <v>0.77167999999999992</v>
      </c>
      <c r="C89" s="1">
        <f>AVERAGE($P$35:$P$38)</f>
        <v>0.61498249999999999</v>
      </c>
      <c r="D89" s="1">
        <f>AVERAGE($V$35:$V$38)</f>
        <v>0.89580249999999995</v>
      </c>
      <c r="E89" s="1">
        <f>AVERAGE($Z$35:$Z$38)</f>
        <v>0.83952250000000006</v>
      </c>
      <c r="F89" s="1">
        <f>AVERAGE($AF$35:$AF$38)</f>
        <v>0.25136999999999998</v>
      </c>
      <c r="G89" s="1">
        <f>AVERAGE($AJ$35:$AJ$38)</f>
        <v>0.192805</v>
      </c>
      <c r="H89" s="2">
        <f>AVERAGE($AP$35:$AP$38)</f>
        <v>0.32084750000000001</v>
      </c>
      <c r="I89" s="1">
        <f>AVERAGE($AT$35:$AT$38)</f>
        <v>0.28088000000000002</v>
      </c>
      <c r="J89" s="1">
        <f>AVERAGE($AZ$35:$AZ$38)</f>
        <v>0.2291175</v>
      </c>
      <c r="K89" s="1">
        <f>AVERAGE($BD$35:$BD$38)</f>
        <v>0.24429000000000001</v>
      </c>
    </row>
    <row r="90" spans="1:11" x14ac:dyDescent="0.45">
      <c r="A90" s="1" t="s">
        <v>84</v>
      </c>
      <c r="B90" s="1">
        <f>AVERAGE($L$39:$L$41)</f>
        <v>0.77522000000000002</v>
      </c>
      <c r="C90" s="1">
        <f>AVERAGE($P$39:$P$41)</f>
        <v>0.56667000000000001</v>
      </c>
      <c r="D90" s="1">
        <f>AVERAGE($V$39:$V$41)</f>
        <v>0.9037466666666667</v>
      </c>
      <c r="E90" s="1">
        <f>AVERAGE($Z$39:$Z$41)</f>
        <v>0.82057666666666673</v>
      </c>
      <c r="F90" s="1">
        <f>AVERAGE($AF$39:$AF$41)</f>
        <v>0.31079000000000001</v>
      </c>
      <c r="G90" s="1">
        <f>AVERAGE($AJ$39:$AJ$41)</f>
        <v>0.23171</v>
      </c>
      <c r="H90" s="2">
        <f>AVERAGE($AP$39:$AP$41)</f>
        <v>0.42873333333333336</v>
      </c>
      <c r="I90" s="1">
        <f>AVERAGE($AT$39:$AT$41)</f>
        <v>0.36630999999999997</v>
      </c>
      <c r="J90" s="1">
        <f>AVERAGE($AZ$39:$AZ$41)</f>
        <v>0.39352666666666664</v>
      </c>
      <c r="K90" s="1">
        <f>AVERAGE($BD$39:$BD$41)</f>
        <v>0.37885333333333332</v>
      </c>
    </row>
    <row r="91" spans="1:11" x14ac:dyDescent="0.45">
      <c r="A91" s="1" t="s">
        <v>85</v>
      </c>
      <c r="B91" s="1">
        <f>AVERAGE($L$42:$L$44)</f>
        <v>0.83133999999999997</v>
      </c>
      <c r="C91" s="1">
        <f>AVERAGE($P$42:$P$44)</f>
        <v>0.26439333333333331</v>
      </c>
      <c r="D91" s="1">
        <f>AVERAGE($V$42:$V$44)</f>
        <v>0.90223333333333333</v>
      </c>
      <c r="E91" s="1">
        <f>AVERAGE($Z$42:$Z$44)</f>
        <v>0.26915666666666666</v>
      </c>
      <c r="F91" s="1">
        <f>AVERAGE($AF$42:$AF$44)</f>
        <v>0.10419</v>
      </c>
      <c r="G91" s="1">
        <f>AVERAGE($AJ$42:$AJ$44)</f>
        <v>0.4200000000000001</v>
      </c>
      <c r="H91" s="2">
        <f>AVERAGE($AP$42:$AP$44)</f>
        <v>0.65651000000000004</v>
      </c>
      <c r="I91" s="1">
        <f>AVERAGE($AT$42:$AT$44)</f>
        <v>0.57830999999999999</v>
      </c>
      <c r="J91" s="1">
        <f>AVERAGE($AZ$42:$AZ$44)</f>
        <v>0.72219666666666671</v>
      </c>
      <c r="K91" s="1">
        <f>AVERAGE($BD$42:$BD$44)</f>
        <v>0.69338666666666671</v>
      </c>
    </row>
    <row r="92" spans="1:11" x14ac:dyDescent="0.45">
      <c r="A92" s="1" t="s">
        <v>86</v>
      </c>
      <c r="B92" s="1">
        <f>AVERAGE($L$45:$L$47)</f>
        <v>0.8534033333333334</v>
      </c>
      <c r="C92" s="1">
        <f>AVERAGE($P$45:$P$47)</f>
        <v>0.74086000000000007</v>
      </c>
      <c r="D92" s="1">
        <f>AVERAGE($V$45:$V$47)</f>
        <v>0.91496999999999995</v>
      </c>
      <c r="E92" s="1">
        <f>AVERAGE($Z$45:$Z$47)</f>
        <v>0.87503333333333344</v>
      </c>
      <c r="F92" s="1">
        <f>AVERAGE($AF$45:$AF$47)</f>
        <v>0.51121000000000005</v>
      </c>
      <c r="G92" s="1">
        <f>AVERAGE($AJ$45:$AJ$47)</f>
        <v>0.41042333333333336</v>
      </c>
      <c r="H92" s="2">
        <f>AVERAGE($AP$45:$AP$47)</f>
        <v>0.68066666666666664</v>
      </c>
      <c r="I92" s="1">
        <f>AVERAGE($AT$45:$AT$47)</f>
        <v>0.62527333333333335</v>
      </c>
      <c r="J92" s="1">
        <f>AVERAGE($AZ$45:$AZ$47)</f>
        <v>0.74570666666666663</v>
      </c>
      <c r="K92" s="1">
        <f>AVERAGE($BD$45:$BD$47)</f>
        <v>0.71492333333333347</v>
      </c>
    </row>
    <row r="93" spans="1:11" x14ac:dyDescent="0.45">
      <c r="A93" s="1" t="s">
        <v>87</v>
      </c>
      <c r="B93" s="1">
        <f>AVERAGE($L$48:$L$50)</f>
        <v>0.85304000000000002</v>
      </c>
      <c r="C93" s="1">
        <f>AVERAGE($P$48:$P$50)</f>
        <v>0.80703666666666674</v>
      </c>
      <c r="D93" s="1">
        <f>AVERAGE($V$48:$V$50)</f>
        <v>0.88646333333333338</v>
      </c>
      <c r="E93" s="1">
        <f>AVERAGE($Z$48:$Z$50)</f>
        <v>0.87601333333333331</v>
      </c>
      <c r="F93" s="1">
        <f>AVERAGE($AF$48:$AF$50)</f>
        <v>0.69948666666666659</v>
      </c>
      <c r="G93" s="1">
        <f>AVERAGE($AJ$48:$AJ$50)</f>
        <v>0.53667666666666669</v>
      </c>
      <c r="H93" s="2">
        <f>AVERAGE($AP$48:$AP$50)</f>
        <v>0.79346333333333341</v>
      </c>
      <c r="I93" s="1">
        <f>AVERAGE($AT$48:$AT$50)</f>
        <v>0.76610333333333325</v>
      </c>
      <c r="J93" s="1">
        <f>AVERAGE($AZ$48:$AZ$50)</f>
        <v>0.82080999999999993</v>
      </c>
      <c r="K93" s="1">
        <f>AVERAGE($BD$48:$BD$50)</f>
        <v>0.84166000000000007</v>
      </c>
    </row>
  </sheetData>
  <mergeCells count="124">
    <mergeCell ref="A4:A8"/>
    <mergeCell ref="B4:B8"/>
    <mergeCell ref="C4:C8"/>
    <mergeCell ref="D4:D8"/>
    <mergeCell ref="E4:E8"/>
    <mergeCell ref="F4:F8"/>
    <mergeCell ref="G4:G8"/>
    <mergeCell ref="A17:A19"/>
    <mergeCell ref="R1:AA1"/>
    <mergeCell ref="R2:V2"/>
    <mergeCell ref="X2:AA2"/>
    <mergeCell ref="B11:B13"/>
    <mergeCell ref="C11:C13"/>
    <mergeCell ref="A11:A13"/>
    <mergeCell ref="D14:D16"/>
    <mergeCell ref="E14:E16"/>
    <mergeCell ref="D11:D13"/>
    <mergeCell ref="E11:E13"/>
    <mergeCell ref="F11:F13"/>
    <mergeCell ref="H1:Q1"/>
    <mergeCell ref="A14:A16"/>
    <mergeCell ref="E32:E34"/>
    <mergeCell ref="B32:B34"/>
    <mergeCell ref="B78:C78"/>
    <mergeCell ref="D78:E78"/>
    <mergeCell ref="F78:G78"/>
    <mergeCell ref="H78:I78"/>
    <mergeCell ref="J78:K78"/>
    <mergeCell ref="G45:G47"/>
    <mergeCell ref="F45:F47"/>
    <mergeCell ref="E45:E47"/>
    <mergeCell ref="D45:D47"/>
    <mergeCell ref="C45:C47"/>
    <mergeCell ref="B48:B50"/>
    <mergeCell ref="G48:G50"/>
    <mergeCell ref="F48:F50"/>
    <mergeCell ref="E48:E50"/>
    <mergeCell ref="D48:D50"/>
    <mergeCell ref="C48:C50"/>
    <mergeCell ref="C35:C38"/>
    <mergeCell ref="B35:B38"/>
    <mergeCell ref="C39:C41"/>
    <mergeCell ref="B39:B41"/>
    <mergeCell ref="C42:C44"/>
    <mergeCell ref="B42:B44"/>
    <mergeCell ref="G29:G31"/>
    <mergeCell ref="D26:D28"/>
    <mergeCell ref="E26:E28"/>
    <mergeCell ref="F26:F28"/>
    <mergeCell ref="E29:E31"/>
    <mergeCell ref="D29:D31"/>
    <mergeCell ref="F29:F31"/>
    <mergeCell ref="A23:A25"/>
    <mergeCell ref="A20:A22"/>
    <mergeCell ref="D20:D22"/>
    <mergeCell ref="F23:F25"/>
    <mergeCell ref="E20:E22"/>
    <mergeCell ref="F20:F22"/>
    <mergeCell ref="B26:B28"/>
    <mergeCell ref="G26:G28"/>
    <mergeCell ref="B29:B31"/>
    <mergeCell ref="C26:C28"/>
    <mergeCell ref="C29:C31"/>
    <mergeCell ref="BL1:BL3"/>
    <mergeCell ref="AL1:AU1"/>
    <mergeCell ref="AL2:AP2"/>
    <mergeCell ref="AR2:AU2"/>
    <mergeCell ref="AV1:BE1"/>
    <mergeCell ref="AV2:AZ2"/>
    <mergeCell ref="BB2:BE2"/>
    <mergeCell ref="BG1:BG3"/>
    <mergeCell ref="BH1:BH3"/>
    <mergeCell ref="BI1:BI3"/>
    <mergeCell ref="BJ1:BJ3"/>
    <mergeCell ref="BK1:BK3"/>
    <mergeCell ref="BF1:BF3"/>
    <mergeCell ref="AB1:AK1"/>
    <mergeCell ref="AB2:AF2"/>
    <mergeCell ref="G20:G22"/>
    <mergeCell ref="G11:G13"/>
    <mergeCell ref="G14:G16"/>
    <mergeCell ref="G23:G25"/>
    <mergeCell ref="C23:C25"/>
    <mergeCell ref="B14:B16"/>
    <mergeCell ref="C14:C16"/>
    <mergeCell ref="C20:C22"/>
    <mergeCell ref="B23:B25"/>
    <mergeCell ref="B20:B22"/>
    <mergeCell ref="E23:E25"/>
    <mergeCell ref="D23:D25"/>
    <mergeCell ref="AH2:AK2"/>
    <mergeCell ref="H2:L2"/>
    <mergeCell ref="N2:Q2"/>
    <mergeCell ref="F14:F16"/>
    <mergeCell ref="B17:B19"/>
    <mergeCell ref="C17:C19"/>
    <mergeCell ref="D17:D19"/>
    <mergeCell ref="E17:E19"/>
    <mergeCell ref="F17:F19"/>
    <mergeCell ref="G17:G19"/>
    <mergeCell ref="B51:B53"/>
    <mergeCell ref="C51:C53"/>
    <mergeCell ref="D51:D53"/>
    <mergeCell ref="E51:E53"/>
    <mergeCell ref="F51:F53"/>
    <mergeCell ref="G51:G53"/>
    <mergeCell ref="A32:A34"/>
    <mergeCell ref="C32:C34"/>
    <mergeCell ref="B45:B47"/>
    <mergeCell ref="F32:F34"/>
    <mergeCell ref="D35:D38"/>
    <mergeCell ref="G42:G44"/>
    <mergeCell ref="F42:F44"/>
    <mergeCell ref="E42:E44"/>
    <mergeCell ref="D42:D44"/>
    <mergeCell ref="F35:F38"/>
    <mergeCell ref="E35:E38"/>
    <mergeCell ref="G39:G41"/>
    <mergeCell ref="F39:F41"/>
    <mergeCell ref="E39:E41"/>
    <mergeCell ref="D39:D41"/>
    <mergeCell ref="D32:D34"/>
    <mergeCell ref="G35:G38"/>
    <mergeCell ref="G32:G34"/>
  </mergeCells>
  <phoneticPr fontId="1" type="noConversion"/>
  <conditionalFormatting sqref="B80:B93">
    <cfRule type="top10" dxfId="9" priority="11" rank="1"/>
    <cfRule type="colorScale" priority="21">
      <colorScale>
        <cfvo type="min"/>
        <cfvo type="max"/>
        <color rgb="FFFCFCFF"/>
        <color rgb="FFF8696B"/>
      </colorScale>
    </cfRule>
  </conditionalFormatting>
  <conditionalFormatting sqref="C80:C93">
    <cfRule type="top10" dxfId="8" priority="7" rank="1"/>
    <cfRule type="colorScale" priority="20">
      <colorScale>
        <cfvo type="min"/>
        <cfvo type="max"/>
        <color rgb="FFFCFCFF"/>
        <color rgb="FFF8696B"/>
      </colorScale>
    </cfRule>
  </conditionalFormatting>
  <conditionalFormatting sqref="D80:D93">
    <cfRule type="top10" dxfId="7" priority="8" rank="1"/>
    <cfRule type="colorScale" priority="19">
      <colorScale>
        <cfvo type="min"/>
        <cfvo type="max"/>
        <color rgb="FFFCFCFF"/>
        <color rgb="FFF8696B"/>
      </colorScale>
    </cfRule>
  </conditionalFormatting>
  <conditionalFormatting sqref="E80:E93">
    <cfRule type="top10" dxfId="6" priority="9" rank="1"/>
    <cfRule type="colorScale" priority="18">
      <colorScale>
        <cfvo type="min"/>
        <cfvo type="max"/>
        <color rgb="FFFCFCFF"/>
        <color rgb="FFF8696B"/>
      </colorScale>
    </cfRule>
  </conditionalFormatting>
  <conditionalFormatting sqref="F80:F93">
    <cfRule type="top10" dxfId="5" priority="10" rank="1"/>
    <cfRule type="colorScale" priority="17">
      <colorScale>
        <cfvo type="min"/>
        <cfvo type="max"/>
        <color rgb="FFFCFCFF"/>
        <color rgb="FFF8696B"/>
      </colorScale>
    </cfRule>
  </conditionalFormatting>
  <conditionalFormatting sqref="G80:G93">
    <cfRule type="top10" dxfId="4" priority="2" rank="1"/>
    <cfRule type="colorScale" priority="16">
      <colorScale>
        <cfvo type="min"/>
        <cfvo type="max"/>
        <color rgb="FFFCFCFF"/>
        <color rgb="FFF8696B"/>
      </colorScale>
    </cfRule>
  </conditionalFormatting>
  <conditionalFormatting sqref="H80:H93">
    <cfRule type="top10" dxfId="3" priority="3" rank="1"/>
    <cfRule type="colorScale" priority="15">
      <colorScale>
        <cfvo type="min"/>
        <cfvo type="max"/>
        <color rgb="FFFCFCFF"/>
        <color rgb="FFF8696B"/>
      </colorScale>
    </cfRule>
  </conditionalFormatting>
  <conditionalFormatting sqref="I80:I93">
    <cfRule type="top10" dxfId="2" priority="4" rank="1"/>
    <cfRule type="colorScale" priority="14">
      <colorScale>
        <cfvo type="min"/>
        <cfvo type="max"/>
        <color rgb="FFFCFCFF"/>
        <color rgb="FFF8696B"/>
      </colorScale>
    </cfRule>
  </conditionalFormatting>
  <conditionalFormatting sqref="J80:J93">
    <cfRule type="top10" dxfId="1" priority="5" rank="1"/>
    <cfRule type="colorScale" priority="13">
      <colorScale>
        <cfvo type="min"/>
        <cfvo type="max"/>
        <color rgb="FFFCFCFF"/>
        <color rgb="FFF8696B"/>
      </colorScale>
    </cfRule>
  </conditionalFormatting>
  <conditionalFormatting sqref="K80:K92">
    <cfRule type="colorScale" priority="12">
      <colorScale>
        <cfvo type="min"/>
        <cfvo type="max"/>
        <color rgb="FFFCFCFF"/>
        <color rgb="FFF8696B"/>
      </colorScale>
    </cfRule>
  </conditionalFormatting>
  <conditionalFormatting sqref="K80:K93">
    <cfRule type="colorScale" priority="1">
      <colorScale>
        <cfvo type="min"/>
        <cfvo type="max"/>
        <color rgb="FFFCFCFF"/>
        <color rgb="FFF8696B"/>
      </colorScale>
    </cfRule>
    <cfRule type="top10" dxfId="0" priority="6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7229-4A72-4AE9-B9C9-5C6ADD0B8395}">
  <dimension ref="A1:BY45"/>
  <sheetViews>
    <sheetView tabSelected="1" topLeftCell="A31" zoomScale="70" zoomScaleNormal="70" workbookViewId="0">
      <selection activeCell="K46" sqref="K46"/>
    </sheetView>
  </sheetViews>
  <sheetFormatPr defaultRowHeight="14" x14ac:dyDescent="0.45"/>
  <cols>
    <col min="1" max="1" width="18.9375" style="1" customWidth="1"/>
    <col min="2" max="2" width="8.9375" style="2"/>
    <col min="3" max="13" width="8.9375" style="1"/>
    <col min="14" max="14" width="8.9375" style="37"/>
    <col min="15" max="15" width="8.9375" style="3"/>
    <col min="16" max="27" width="8.9375" style="1"/>
    <col min="28" max="28" width="8.9375" style="37"/>
    <col min="29" max="29" width="8.9375" style="3"/>
    <col min="30" max="30" width="8.9375" style="74"/>
    <col min="31" max="41" width="8.9375" style="1"/>
    <col min="42" max="42" width="8.9375" style="37"/>
    <col min="43" max="43" width="8.9375" style="3"/>
    <col min="44" max="44" width="8.9375" style="2"/>
    <col min="45" max="55" width="8.9375" style="1"/>
    <col min="56" max="56" width="8.9375" style="37"/>
    <col min="57" max="57" width="8.9375" style="3"/>
    <col min="58" max="58" width="8.9375" style="2"/>
    <col min="59" max="67" width="8.9375" style="1"/>
    <col min="68" max="68" width="8.9375" style="78"/>
    <col min="69" max="69" width="8.9375" style="74"/>
    <col min="70" max="70" width="8.9375" style="76"/>
    <col min="71" max="71" width="8.9375" style="3"/>
    <col min="72" max="76" width="8.9375" style="1"/>
    <col min="77" max="77" width="8.9375" style="14"/>
    <col min="78" max="16384" width="8.9375" style="1"/>
  </cols>
  <sheetData>
    <row r="1" spans="1:77" x14ac:dyDescent="0.45">
      <c r="B1" s="56" t="s">
        <v>96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57"/>
      <c r="P1" s="44" t="s">
        <v>97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56" t="s">
        <v>103</v>
      </c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57"/>
      <c r="AR1" s="56" t="s">
        <v>98</v>
      </c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57"/>
      <c r="BF1" s="56" t="s">
        <v>99</v>
      </c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57"/>
    </row>
    <row r="3" spans="1:77" x14ac:dyDescent="0.45">
      <c r="A3" s="1" t="s">
        <v>100</v>
      </c>
      <c r="B3" s="2" t="s">
        <v>13</v>
      </c>
      <c r="C3" s="1" t="s">
        <v>2</v>
      </c>
      <c r="D3" s="1" t="s">
        <v>3</v>
      </c>
      <c r="E3" s="1" t="s">
        <v>4</v>
      </c>
      <c r="F3" s="4" t="s">
        <v>1</v>
      </c>
      <c r="G3" s="5" t="s">
        <v>14</v>
      </c>
      <c r="H3" s="1" t="s">
        <v>3</v>
      </c>
      <c r="I3" s="1" t="s">
        <v>4</v>
      </c>
      <c r="J3" s="4" t="s">
        <v>5</v>
      </c>
      <c r="K3" s="1" t="s">
        <v>6</v>
      </c>
      <c r="L3" s="1" t="s">
        <v>3</v>
      </c>
      <c r="M3" s="1" t="s">
        <v>4</v>
      </c>
      <c r="N3" s="4" t="s">
        <v>5</v>
      </c>
      <c r="O3" s="3" t="s">
        <v>95</v>
      </c>
      <c r="P3" s="1" t="s">
        <v>13</v>
      </c>
      <c r="Q3" s="1" t="s">
        <v>2</v>
      </c>
      <c r="R3" s="1" t="s">
        <v>3</v>
      </c>
      <c r="S3" s="1" t="s">
        <v>4</v>
      </c>
      <c r="T3" s="4" t="s">
        <v>1</v>
      </c>
      <c r="U3" s="5" t="s">
        <v>14</v>
      </c>
      <c r="V3" s="1" t="s">
        <v>3</v>
      </c>
      <c r="W3" s="1" t="s">
        <v>4</v>
      </c>
      <c r="X3" s="4" t="s">
        <v>5</v>
      </c>
      <c r="Y3" s="1" t="s">
        <v>6</v>
      </c>
      <c r="Z3" s="1" t="s">
        <v>3</v>
      </c>
      <c r="AA3" s="1" t="s">
        <v>4</v>
      </c>
      <c r="AB3" s="37" t="s">
        <v>5</v>
      </c>
      <c r="AC3" s="3" t="s">
        <v>95</v>
      </c>
      <c r="AD3" s="74" t="s">
        <v>13</v>
      </c>
      <c r="AE3" s="1" t="s">
        <v>2</v>
      </c>
      <c r="AF3" s="1" t="s">
        <v>3</v>
      </c>
      <c r="AG3" s="1" t="s">
        <v>4</v>
      </c>
      <c r="AH3" s="4" t="s">
        <v>1</v>
      </c>
      <c r="AI3" s="5" t="s">
        <v>14</v>
      </c>
      <c r="AJ3" s="1" t="s">
        <v>3</v>
      </c>
      <c r="AK3" s="1" t="s">
        <v>4</v>
      </c>
      <c r="AL3" s="4" t="s">
        <v>5</v>
      </c>
      <c r="AM3" s="1" t="s">
        <v>6</v>
      </c>
      <c r="AN3" s="1" t="s">
        <v>3</v>
      </c>
      <c r="AO3" s="1" t="s">
        <v>4</v>
      </c>
      <c r="AP3" s="37" t="s">
        <v>5</v>
      </c>
      <c r="AQ3" s="3" t="s">
        <v>95</v>
      </c>
      <c r="AR3" s="2" t="s">
        <v>13</v>
      </c>
      <c r="AS3" s="1" t="s">
        <v>2</v>
      </c>
      <c r="AT3" s="1" t="s">
        <v>3</v>
      </c>
      <c r="AU3" s="1" t="s">
        <v>4</v>
      </c>
      <c r="AV3" s="4" t="s">
        <v>1</v>
      </c>
      <c r="AW3" s="5" t="s">
        <v>14</v>
      </c>
      <c r="AX3" s="1" t="s">
        <v>3</v>
      </c>
      <c r="AY3" s="1" t="s">
        <v>4</v>
      </c>
      <c r="AZ3" s="4" t="s">
        <v>5</v>
      </c>
      <c r="BA3" s="1" t="s">
        <v>6</v>
      </c>
      <c r="BB3" s="1" t="s">
        <v>3</v>
      </c>
      <c r="BC3" s="1" t="s">
        <v>4</v>
      </c>
      <c r="BD3" s="37" t="s">
        <v>5</v>
      </c>
      <c r="BE3" s="3" t="s">
        <v>95</v>
      </c>
      <c r="BF3" s="2" t="s">
        <v>13</v>
      </c>
      <c r="BG3" s="1" t="s">
        <v>2</v>
      </c>
      <c r="BH3" s="1" t="s">
        <v>3</v>
      </c>
      <c r="BI3" s="1" t="s">
        <v>4</v>
      </c>
      <c r="BJ3" s="4" t="s">
        <v>1</v>
      </c>
      <c r="BK3" s="5" t="s">
        <v>14</v>
      </c>
      <c r="BL3" s="1" t="s">
        <v>3</v>
      </c>
      <c r="BM3" s="1" t="s">
        <v>4</v>
      </c>
      <c r="BN3" s="4" t="s">
        <v>5</v>
      </c>
      <c r="BO3" s="1" t="s">
        <v>6</v>
      </c>
      <c r="BP3" s="78" t="s">
        <v>3</v>
      </c>
      <c r="BQ3" s="74" t="s">
        <v>4</v>
      </c>
      <c r="BR3" s="76" t="s">
        <v>5</v>
      </c>
      <c r="BS3" s="3" t="s">
        <v>95</v>
      </c>
    </row>
    <row r="4" spans="1:77" s="38" customFormat="1" x14ac:dyDescent="0.45">
      <c r="A4" s="38" t="s">
        <v>101</v>
      </c>
      <c r="B4" s="39">
        <v>0.391975565736498</v>
      </c>
      <c r="C4" s="38">
        <v>0.77431678736202503</v>
      </c>
      <c r="D4" s="38">
        <v>0.90414480076239101</v>
      </c>
      <c r="E4" s="38">
        <v>0.84349263216828096</v>
      </c>
      <c r="F4" s="38">
        <v>0.87166085201017796</v>
      </c>
      <c r="G4" s="38">
        <v>0.58571428571428497</v>
      </c>
      <c r="H4" s="38">
        <v>0.81618913904310897</v>
      </c>
      <c r="I4" s="38">
        <v>0.89907007092493096</v>
      </c>
      <c r="J4" s="38">
        <v>0.854229450914883</v>
      </c>
      <c r="K4" s="38">
        <v>0.78067637814352897</v>
      </c>
      <c r="N4" s="40"/>
      <c r="O4" s="41"/>
      <c r="P4" s="38">
        <v>0.33490212411495202</v>
      </c>
      <c r="Q4" s="38">
        <v>0.76177452815872004</v>
      </c>
      <c r="R4" s="38">
        <v>0.88842011440844804</v>
      </c>
      <c r="S4" s="38">
        <v>0.84232898021101299</v>
      </c>
      <c r="T4" s="38">
        <v>0.86392887286870701</v>
      </c>
      <c r="U4" s="38">
        <v>0.54489795918367301</v>
      </c>
      <c r="V4" s="38">
        <v>0.78531264953041702</v>
      </c>
      <c r="W4" s="38">
        <v>0.87805853650356702</v>
      </c>
      <c r="X4" s="38">
        <v>0.82801129151097597</v>
      </c>
      <c r="Y4" s="38">
        <v>0.77646000339401799</v>
      </c>
      <c r="AB4" s="40"/>
      <c r="AC4" s="41"/>
      <c r="AD4" s="75">
        <v>0.27006802721088402</v>
      </c>
      <c r="AE4" s="38">
        <v>0.76503543508898098</v>
      </c>
      <c r="AF4" s="38">
        <v>0.87347796455955695</v>
      </c>
      <c r="AG4" s="38">
        <v>0.85980164752877797</v>
      </c>
      <c r="AH4" s="38">
        <v>0.866335183424502</v>
      </c>
      <c r="AI4" s="38">
        <v>0.53527696793002899</v>
      </c>
      <c r="AJ4" s="38">
        <v>0.76142094210220301</v>
      </c>
      <c r="AK4" s="38">
        <v>0.861792266841093</v>
      </c>
      <c r="AL4" s="38">
        <v>0.80816421943629901</v>
      </c>
      <c r="AM4" s="38">
        <v>0.78702623822350604</v>
      </c>
      <c r="AP4" s="40"/>
      <c r="AQ4" s="41"/>
      <c r="AR4" s="39">
        <v>0.31400805220047201</v>
      </c>
      <c r="AS4" s="38">
        <v>0.66046336284909402</v>
      </c>
      <c r="AT4" s="38">
        <v>0.82801354706655295</v>
      </c>
      <c r="AU4" s="38">
        <v>0.76987171309094404</v>
      </c>
      <c r="AV4" s="38">
        <v>0.792552055392862</v>
      </c>
      <c r="AW4" s="38">
        <v>0.39047619047618998</v>
      </c>
      <c r="AX4" s="38">
        <v>0.79039032680086596</v>
      </c>
      <c r="AY4" s="38">
        <v>0.83601277973402699</v>
      </c>
      <c r="AZ4" s="38">
        <v>0.80813377084037297</v>
      </c>
      <c r="BA4" s="38">
        <v>0.66146710609761905</v>
      </c>
      <c r="BD4" s="40"/>
      <c r="BE4" s="41"/>
      <c r="BF4" s="39">
        <v>0.25406774954879902</v>
      </c>
      <c r="BG4" s="38">
        <v>0.67467349785748798</v>
      </c>
      <c r="BH4" s="38">
        <v>0.82537355137087698</v>
      </c>
      <c r="BI4" s="38">
        <v>0.78889199042594305</v>
      </c>
      <c r="BJ4" s="38">
        <v>0.80326447964292103</v>
      </c>
      <c r="BK4" s="38">
        <v>0.369096209912536</v>
      </c>
      <c r="BL4" s="38">
        <v>0.754948492136855</v>
      </c>
      <c r="BM4" s="38">
        <v>0.80739885344903894</v>
      </c>
      <c r="BN4" s="38">
        <v>0.77718604816528802</v>
      </c>
      <c r="BO4" s="38">
        <v>0.67522249018895297</v>
      </c>
      <c r="BP4" s="87"/>
      <c r="BQ4" s="75"/>
      <c r="BR4" s="77"/>
      <c r="BS4" s="41"/>
      <c r="BT4" s="38" t="s">
        <v>104</v>
      </c>
      <c r="BU4" s="38" t="s">
        <v>105</v>
      </c>
      <c r="BV4" s="38" t="s">
        <v>106</v>
      </c>
      <c r="BW4" s="38" t="s">
        <v>107</v>
      </c>
      <c r="BX4" s="38" t="s">
        <v>108</v>
      </c>
      <c r="BY4" s="70"/>
    </row>
    <row r="5" spans="1:77" x14ac:dyDescent="0.45">
      <c r="A5" s="63" t="s">
        <v>112</v>
      </c>
      <c r="L5" s="1">
        <v>0.810728282715801</v>
      </c>
      <c r="M5" s="1">
        <v>0.88777465673153599</v>
      </c>
      <c r="N5" s="37">
        <v>0.84397933329420605</v>
      </c>
      <c r="O5" s="3">
        <v>0.78484281554510604</v>
      </c>
      <c r="Z5" s="1">
        <v>0.75559033764480799</v>
      </c>
      <c r="AA5" s="1">
        <v>0.83637773452879505</v>
      </c>
      <c r="AB5" s="37">
        <v>0.78999023776492705</v>
      </c>
      <c r="AC5" s="3">
        <v>0.78278262149688105</v>
      </c>
      <c r="AN5" s="1">
        <v>0.68182041658571102</v>
      </c>
      <c r="AO5" s="1">
        <v>0.76795675297801003</v>
      </c>
      <c r="AP5" s="37">
        <v>0.71704030483477399</v>
      </c>
      <c r="AQ5" s="1">
        <v>0.79370971832774695</v>
      </c>
      <c r="BB5" s="1">
        <v>0.64187200963630198</v>
      </c>
      <c r="BC5" s="1">
        <v>0.70314392405356796</v>
      </c>
      <c r="BD5" s="37">
        <v>0.65329820561696605</v>
      </c>
      <c r="BE5" s="1">
        <v>0.66913139746667205</v>
      </c>
      <c r="BP5" s="78">
        <v>0.62736062040194696</v>
      </c>
      <c r="BQ5" s="74">
        <v>0.61989079414890902</v>
      </c>
      <c r="BR5" s="76">
        <v>0.60309377370790995</v>
      </c>
      <c r="BS5" s="3">
        <v>0.66536832716202399</v>
      </c>
      <c r="BT5" s="1">
        <f t="shared" ref="BT5:BT6" si="0">N5/$J$4</f>
        <v>0.98800074428515772</v>
      </c>
      <c r="BU5" s="1">
        <f t="shared" ref="BU5:BU6" si="1">AB5/$X$4</f>
        <v>0.95408147915873576</v>
      </c>
      <c r="BV5" s="1">
        <f t="shared" ref="BV5:BV6" si="2">AP5/$AL$4</f>
        <v>0.88724579434476236</v>
      </c>
      <c r="BW5" s="1">
        <f t="shared" ref="BW5:BW6" si="3">BD5/$AZ$4</f>
        <v>0.80840354553876093</v>
      </c>
      <c r="BX5" s="1">
        <f t="shared" ref="BX5:BX6" si="4">BR5/$BN$4</f>
        <v>0.77599665502441828</v>
      </c>
    </row>
    <row r="6" spans="1:77" x14ac:dyDescent="0.45">
      <c r="A6" s="57"/>
      <c r="L6" s="1">
        <v>0.80758926741580805</v>
      </c>
      <c r="M6" s="1">
        <v>0.88339753860956804</v>
      </c>
      <c r="N6" s="37">
        <v>0.839985991400792</v>
      </c>
      <c r="O6" s="3">
        <v>0.78452106552377598</v>
      </c>
      <c r="Z6" s="1">
        <v>0.75771337205364397</v>
      </c>
      <c r="AA6" s="1">
        <v>0.83760628681691696</v>
      </c>
      <c r="AB6" s="37">
        <v>0.79036107838063896</v>
      </c>
      <c r="AC6" s="3">
        <v>0.78279138736772103</v>
      </c>
      <c r="AD6" s="1"/>
      <c r="AN6" s="1">
        <v>0.67844702773738697</v>
      </c>
      <c r="AO6" s="1">
        <v>0.75843418167927601</v>
      </c>
      <c r="AP6" s="37">
        <v>0.70834226503110498</v>
      </c>
      <c r="AQ6" s="1">
        <v>0.794565892961269</v>
      </c>
      <c r="BB6" s="1">
        <v>0.66202161357148603</v>
      </c>
      <c r="BC6" s="1">
        <v>0.72781553809586796</v>
      </c>
      <c r="BD6" s="37">
        <v>0.67690579774556503</v>
      </c>
      <c r="BE6" s="1">
        <v>0.66841426678381699</v>
      </c>
      <c r="BP6" s="78">
        <v>0.62516782311953201</v>
      </c>
      <c r="BQ6" s="74">
        <v>0.61739458505531597</v>
      </c>
      <c r="BR6" s="76">
        <v>0.60141252271308898</v>
      </c>
      <c r="BS6" s="3">
        <v>0.66639219004787498</v>
      </c>
      <c r="BT6" s="1">
        <f t="shared" si="0"/>
        <v>0.9833259559257338</v>
      </c>
      <c r="BU6" s="1">
        <f t="shared" si="1"/>
        <v>0.95452934819085389</v>
      </c>
      <c r="BV6" s="1">
        <f t="shared" si="2"/>
        <v>0.87648308103169847</v>
      </c>
      <c r="BW6" s="1">
        <f t="shared" si="3"/>
        <v>0.83761602617058706</v>
      </c>
      <c r="BX6" s="1">
        <f t="shared" si="4"/>
        <v>0.7738334008090475</v>
      </c>
    </row>
    <row r="7" spans="1:77" x14ac:dyDescent="0.45">
      <c r="A7" s="67"/>
      <c r="L7" s="1">
        <v>0.80552627469246996</v>
      </c>
      <c r="M7" s="1">
        <v>0.88067534088932398</v>
      </c>
      <c r="N7" s="37">
        <v>0.83783194976974995</v>
      </c>
      <c r="O7" s="3">
        <v>0.78451907559677003</v>
      </c>
      <c r="Z7" s="1">
        <v>0.76682891760178795</v>
      </c>
      <c r="AA7" s="1">
        <v>0.84544727543720499</v>
      </c>
      <c r="AB7" s="37">
        <v>0.799914890919322</v>
      </c>
      <c r="AC7" s="3">
        <v>0.78240638607189805</v>
      </c>
      <c r="AN7" s="1">
        <v>0.68066210716263897</v>
      </c>
      <c r="AO7" s="1">
        <v>0.75672427205322401</v>
      </c>
      <c r="AP7" s="37">
        <v>0.70853850328252899</v>
      </c>
      <c r="AQ7" s="3">
        <v>0.79303296646672605</v>
      </c>
      <c r="BB7" s="1">
        <v>0.66351424997830399</v>
      </c>
      <c r="BC7" s="1">
        <v>0.73245458705113797</v>
      </c>
      <c r="BD7" s="37">
        <v>0.680787549119927</v>
      </c>
      <c r="BE7" s="1">
        <v>0.67057473970968695</v>
      </c>
      <c r="BP7" s="78">
        <v>0.62837393593443003</v>
      </c>
      <c r="BQ7" s="74">
        <v>0.62010084679189803</v>
      </c>
      <c r="BR7" s="76">
        <v>0.60573431126551502</v>
      </c>
      <c r="BS7" s="3">
        <v>0.66559546001722703</v>
      </c>
      <c r="BT7" s="1">
        <f>N7/$J$4</f>
        <v>0.98080433643727538</v>
      </c>
      <c r="BU7" s="1">
        <f>AB7/$X$4</f>
        <v>0.96606761178294687</v>
      </c>
      <c r="BV7" s="1">
        <f>AP7/$AL$4</f>
        <v>0.8767259008036018</v>
      </c>
      <c r="BW7" s="1">
        <f>BD7/$AZ$4</f>
        <v>0.84241937867784011</v>
      </c>
      <c r="BX7" s="1">
        <f>BR7/$BN$4</f>
        <v>0.77939421673289033</v>
      </c>
    </row>
    <row r="8" spans="1:77" s="16" customFormat="1" x14ac:dyDescent="0.45">
      <c r="A8" s="68" t="s">
        <v>111</v>
      </c>
      <c r="B8" s="17"/>
      <c r="L8" s="16">
        <v>0.80977962032828099</v>
      </c>
      <c r="M8" s="16">
        <v>0.88556061607583403</v>
      </c>
      <c r="N8" s="42">
        <v>0.84234362665406104</v>
      </c>
      <c r="O8" s="20">
        <v>0.78479515000828903</v>
      </c>
      <c r="Z8" s="16">
        <v>0.76597442383001202</v>
      </c>
      <c r="AA8" s="16">
        <v>0.84674416984701695</v>
      </c>
      <c r="AB8" s="42">
        <v>0.80013572603498895</v>
      </c>
      <c r="AC8" s="20">
        <v>0.78247157068216999</v>
      </c>
      <c r="AN8" s="16">
        <v>0.69953644874964904</v>
      </c>
      <c r="AO8" s="16">
        <v>0.78502755113396006</v>
      </c>
      <c r="AP8" s="42">
        <v>0.73327050619887701</v>
      </c>
      <c r="AQ8" s="16">
        <v>0.79626332548986301</v>
      </c>
      <c r="AR8" s="17"/>
      <c r="BB8" s="16">
        <v>0.67615007473383903</v>
      </c>
      <c r="BC8" s="16">
        <v>0.74213839930770598</v>
      </c>
      <c r="BD8" s="42">
        <v>0.68900892112863099</v>
      </c>
      <c r="BE8" s="16">
        <v>0.66985197399535101</v>
      </c>
      <c r="BF8" s="17"/>
      <c r="BP8" s="21">
        <v>0.616313766620597</v>
      </c>
      <c r="BQ8" s="16">
        <v>0.61396388377275601</v>
      </c>
      <c r="BR8" s="42">
        <v>0.59670031292277204</v>
      </c>
      <c r="BS8" s="20">
        <v>0.66637607353858197</v>
      </c>
      <c r="BT8" s="16">
        <f>N8/$J$4</f>
        <v>0.98608591140460888</v>
      </c>
      <c r="BU8" s="16">
        <f>AB8/$X$4</f>
        <v>0.96633431722275309</v>
      </c>
      <c r="BV8" s="16">
        <f>AP8/$AL$4</f>
        <v>0.90732859555492207</v>
      </c>
      <c r="BW8" s="16">
        <f>BD8/$AZ$4</f>
        <v>0.85259265976737386</v>
      </c>
      <c r="BX8" s="16">
        <f>BR8/$BN$4</f>
        <v>0.76777023253493715</v>
      </c>
      <c r="BY8" s="71"/>
    </row>
    <row r="9" spans="1:77" s="74" customFormat="1" x14ac:dyDescent="0.45">
      <c r="A9" s="69"/>
      <c r="B9" s="2"/>
      <c r="L9" s="74">
        <v>0.81310560079151795</v>
      </c>
      <c r="M9" s="74">
        <v>0.88869719743817599</v>
      </c>
      <c r="N9" s="76">
        <v>0.84558677830789297</v>
      </c>
      <c r="O9" s="3">
        <v>0.78484278445409095</v>
      </c>
      <c r="Z9" s="74">
        <v>0.76371502719879303</v>
      </c>
      <c r="AA9" s="74">
        <v>0.84404734295153705</v>
      </c>
      <c r="AB9" s="76">
        <v>0.79801591334955702</v>
      </c>
      <c r="AC9" s="3">
        <v>0.78282349393361805</v>
      </c>
      <c r="AN9" s="74">
        <v>0.68817412624264296</v>
      </c>
      <c r="AO9" s="74">
        <v>0.771872706994993</v>
      </c>
      <c r="AP9" s="76">
        <v>0.72243528451876105</v>
      </c>
      <c r="AQ9" s="74">
        <v>0.79590925361680298</v>
      </c>
      <c r="AR9" s="2"/>
      <c r="BB9" s="74">
        <v>0.65388179465181495</v>
      </c>
      <c r="BC9" s="74">
        <v>0.71807792744013699</v>
      </c>
      <c r="BD9" s="76">
        <v>0.66554799938155396</v>
      </c>
      <c r="BE9" s="74">
        <v>0.67057100291673799</v>
      </c>
      <c r="BF9" s="2"/>
      <c r="BP9" s="78">
        <v>0.62372946519066996</v>
      </c>
      <c r="BQ9" s="74">
        <v>0.61931110577702597</v>
      </c>
      <c r="BR9" s="76">
        <v>0.60356583052608304</v>
      </c>
      <c r="BS9" s="3">
        <v>0.66625266866491695</v>
      </c>
      <c r="BT9" s="16">
        <f t="shared" ref="BT9" si="5">N9/$J$4</f>
        <v>0.9898824928153277</v>
      </c>
      <c r="BU9" s="16">
        <f t="shared" ref="BU9" si="6">AB9/$X$4</f>
        <v>0.96377419188730795</v>
      </c>
      <c r="BV9" s="16">
        <f t="shared" ref="BV9" si="7">AP9/$AL$4</f>
        <v>0.89392139263807724</v>
      </c>
      <c r="BW9" s="16">
        <f t="shared" ref="BW9" si="8">BD9/$AZ$4</f>
        <v>0.82356167183739271</v>
      </c>
      <c r="BX9" s="16">
        <f t="shared" ref="BX9" si="9">BR9/$BN$4</f>
        <v>0.77660404732036525</v>
      </c>
      <c r="BY9" s="79"/>
    </row>
    <row r="10" spans="1:77" s="74" customFormat="1" x14ac:dyDescent="0.45">
      <c r="A10" s="69"/>
      <c r="B10" s="2"/>
      <c r="L10" s="74">
        <v>0.81192925389801496</v>
      </c>
      <c r="M10" s="74">
        <v>0.88782452179520899</v>
      </c>
      <c r="N10" s="76">
        <v>0.84462859869432605</v>
      </c>
      <c r="O10" s="3">
        <v>0.78471423564647003</v>
      </c>
      <c r="Z10" s="74">
        <v>0.76367424058147104</v>
      </c>
      <c r="AA10" s="74">
        <v>0.84621708379504301</v>
      </c>
      <c r="AB10" s="76">
        <v>0.79922105642691799</v>
      </c>
      <c r="AC10" s="3">
        <v>0.78254469295060203</v>
      </c>
      <c r="AN10" s="74">
        <v>0.69169877961786796</v>
      </c>
      <c r="AO10" s="74">
        <v>0.77224950167825201</v>
      </c>
      <c r="AP10" s="76">
        <v>0.72357701264484198</v>
      </c>
      <c r="AQ10" s="74">
        <v>0.79492970724927703</v>
      </c>
      <c r="AR10" s="2"/>
      <c r="BB10" s="74">
        <v>0.66175349260406502</v>
      </c>
      <c r="BC10" s="74">
        <v>0.72722601701607104</v>
      </c>
      <c r="BD10" s="76">
        <v>0.67837312942240102</v>
      </c>
      <c r="BE10" s="74">
        <v>0.670351853492266</v>
      </c>
      <c r="BF10" s="2"/>
      <c r="BP10" s="78">
        <v>0.63433273355978503</v>
      </c>
      <c r="BQ10" s="74">
        <v>0.62944785515008295</v>
      </c>
      <c r="BR10" s="76">
        <v>0.61394918278816102</v>
      </c>
      <c r="BS10" s="3">
        <v>0.66558841674932701</v>
      </c>
      <c r="BT10" s="16">
        <f t="shared" ref="BT10" si="10">N10/$J$4</f>
        <v>0.98876080400848465</v>
      </c>
      <c r="BU10" s="16">
        <f t="shared" ref="BU10" si="11">AB10/$X$4</f>
        <v>0.96522965884738021</v>
      </c>
      <c r="BV10" s="16">
        <f t="shared" ref="BV10" si="12">AP10/$AL$4</f>
        <v>0.89533413536860451</v>
      </c>
      <c r="BW10" s="16">
        <f t="shared" ref="BW10" si="13">BD10/$AZ$4</f>
        <v>0.83943173011686578</v>
      </c>
      <c r="BX10" s="16">
        <f t="shared" ref="BX10" si="14">BR10/$BN$4</f>
        <v>0.78996423602497479</v>
      </c>
      <c r="BY10" s="79" t="s">
        <v>129</v>
      </c>
    </row>
    <row r="11" spans="1:77" s="24" customFormat="1" x14ac:dyDescent="0.45">
      <c r="A11" s="80"/>
      <c r="B11" s="26"/>
      <c r="L11" s="24">
        <v>0.81259755653468202</v>
      </c>
      <c r="M11" s="24">
        <v>0.88858826965156801</v>
      </c>
      <c r="N11" s="43">
        <v>0.84527892735013599</v>
      </c>
      <c r="O11" s="25">
        <v>0.78494651253466796</v>
      </c>
      <c r="Z11" s="24">
        <v>0.76345309445812304</v>
      </c>
      <c r="AA11" s="24">
        <v>0.84489208630752699</v>
      </c>
      <c r="AB11" s="43">
        <v>0.79811921028208099</v>
      </c>
      <c r="AC11" s="25">
        <v>0.78331517816706797</v>
      </c>
      <c r="AN11" s="24">
        <v>0.70572038788316604</v>
      </c>
      <c r="AO11" s="24">
        <v>0.791314425244807</v>
      </c>
      <c r="AP11" s="43">
        <v>0.74137360864510005</v>
      </c>
      <c r="AQ11" s="24">
        <v>0.79283736367027102</v>
      </c>
      <c r="AR11" s="26"/>
      <c r="BB11" s="24">
        <v>0.65948824939455197</v>
      </c>
      <c r="BC11" s="24">
        <v>0.72130885744309703</v>
      </c>
      <c r="BD11" s="43">
        <v>0.66910585736434203</v>
      </c>
      <c r="BE11" s="24">
        <v>0.67213189137116203</v>
      </c>
      <c r="BF11" s="26"/>
      <c r="BP11" s="29">
        <v>0.62419860818447304</v>
      </c>
      <c r="BQ11" s="24">
        <v>0.61829754081275501</v>
      </c>
      <c r="BR11" s="43">
        <v>0.60333716201434195</v>
      </c>
      <c r="BS11" s="25">
        <v>0.66530512918148099</v>
      </c>
      <c r="BT11" s="81">
        <f>N11/$J$4</f>
        <v>0.98952210842747113</v>
      </c>
      <c r="BU11" s="81">
        <f>AB11/$X$4</f>
        <v>0.96389894493546446</v>
      </c>
      <c r="BV11" s="81">
        <f>AP11/$AL$4</f>
        <v>0.91735514987562061</v>
      </c>
      <c r="BW11" s="81">
        <f>BD11/$AZ$4</f>
        <v>0.82796423254103502</v>
      </c>
      <c r="BX11" s="81">
        <f>BR11/$BN$4</f>
        <v>0.77630982110222757</v>
      </c>
      <c r="BY11" s="72"/>
    </row>
    <row r="12" spans="1:77" s="74" customFormat="1" x14ac:dyDescent="0.45">
      <c r="A12" s="62" t="s">
        <v>115</v>
      </c>
      <c r="B12" s="2"/>
      <c r="L12" s="74">
        <v>0.81316840370401999</v>
      </c>
      <c r="M12" s="74">
        <v>0.89030947538838801</v>
      </c>
      <c r="N12" s="76">
        <v>0.84664689275348604</v>
      </c>
      <c r="O12" s="3">
        <v>0.78479596656972594</v>
      </c>
      <c r="Z12" s="74">
        <v>0.763359194436391</v>
      </c>
      <c r="AA12" s="74">
        <v>0.84440231805742705</v>
      </c>
      <c r="AB12" s="76">
        <v>0.79784209579878396</v>
      </c>
      <c r="AC12" s="3">
        <v>0.782602473376379</v>
      </c>
      <c r="AN12" s="74">
        <v>0.67782924072056805</v>
      </c>
      <c r="AO12" s="74">
        <v>0.76128317671768697</v>
      </c>
      <c r="AP12" s="76">
        <v>0.70948968952475799</v>
      </c>
      <c r="AQ12" s="74">
        <v>0.79507120946929399</v>
      </c>
      <c r="AR12" s="2"/>
      <c r="BB12" s="74">
        <v>0.64726207355885201</v>
      </c>
      <c r="BC12" s="74">
        <v>0.71392502180581197</v>
      </c>
      <c r="BD12" s="76">
        <v>0.66269869294451</v>
      </c>
      <c r="BE12" s="74">
        <v>0.67089046763825799</v>
      </c>
      <c r="BF12" s="2"/>
      <c r="BP12" s="78">
        <v>0.63143886434585295</v>
      </c>
      <c r="BQ12" s="74">
        <v>0.62358771893880305</v>
      </c>
      <c r="BR12" s="76">
        <v>0.60773590056835503</v>
      </c>
      <c r="BS12" s="3">
        <v>0.66679034198289</v>
      </c>
      <c r="BT12" s="74">
        <f>N12/$J$4</f>
        <v>0.99112351119096165</v>
      </c>
      <c r="BU12" s="74">
        <f>AB12/$X$4</f>
        <v>0.96356427017180102</v>
      </c>
      <c r="BV12" s="74">
        <f>AP12/$AL$4</f>
        <v>0.87790287228953634</v>
      </c>
      <c r="BW12" s="74">
        <f>BD12/$AZ$4</f>
        <v>0.8200358862065299</v>
      </c>
      <c r="BX12" s="74">
        <f>BR12/$BN$4</f>
        <v>0.78196964806952485</v>
      </c>
      <c r="BY12" s="79" t="s">
        <v>110</v>
      </c>
    </row>
    <row r="13" spans="1:77" x14ac:dyDescent="0.45">
      <c r="A13" s="57"/>
      <c r="L13" s="1">
        <v>0.81018794972422004</v>
      </c>
      <c r="M13" s="1">
        <v>0.88779609343344001</v>
      </c>
      <c r="N13" s="37">
        <v>0.84394288755650004</v>
      </c>
      <c r="O13" s="3">
        <v>0.78459730243636305</v>
      </c>
      <c r="Z13" s="1">
        <v>0.76296338859387303</v>
      </c>
      <c r="AA13" s="1">
        <v>0.84126529183584398</v>
      </c>
      <c r="AB13" s="37">
        <v>0.79551628515371497</v>
      </c>
      <c r="AC13" s="3">
        <v>0.78274129591092401</v>
      </c>
      <c r="AD13" s="1"/>
      <c r="AN13" s="1">
        <v>0.69485587553230499</v>
      </c>
      <c r="AO13" s="1">
        <v>0.77394317457443496</v>
      </c>
      <c r="AP13" s="37">
        <v>0.72405508736438295</v>
      </c>
      <c r="AQ13" s="1">
        <v>0.792903648710927</v>
      </c>
      <c r="BB13" s="1">
        <v>0.64956671120573295</v>
      </c>
      <c r="BC13" s="1">
        <v>0.70850190652679901</v>
      </c>
      <c r="BD13" s="37">
        <v>0.66327447561612596</v>
      </c>
      <c r="BE13" s="1">
        <v>0.67468235768528095</v>
      </c>
      <c r="BP13" s="78">
        <v>0.628140843762788</v>
      </c>
      <c r="BQ13" s="74">
        <v>0.61708429205579496</v>
      </c>
      <c r="BR13" s="76">
        <v>0.60475999359911503</v>
      </c>
      <c r="BS13" s="3">
        <v>0.66600212833569095</v>
      </c>
      <c r="BT13" s="16">
        <f>N13/$J$4</f>
        <v>0.98795807924045931</v>
      </c>
      <c r="BU13" s="16">
        <f>AB13/$X$4</f>
        <v>0.96075535842275372</v>
      </c>
      <c r="BV13" s="16">
        <f>AP13/$AL$4</f>
        <v>0.89592569177266612</v>
      </c>
      <c r="BW13" s="16">
        <f>BD13/$AZ$4</f>
        <v>0.8207483705654216</v>
      </c>
      <c r="BX13" s="16">
        <f>BR13/$BN$4</f>
        <v>0.7781405688210421</v>
      </c>
    </row>
    <row r="14" spans="1:77" s="74" customFormat="1" x14ac:dyDescent="0.45">
      <c r="A14" s="67"/>
      <c r="B14" s="2"/>
      <c r="L14" s="74">
        <v>0.811287308243271</v>
      </c>
      <c r="M14" s="74">
        <v>0.88881786840493204</v>
      </c>
      <c r="N14" s="76">
        <v>0.844937149186197</v>
      </c>
      <c r="O14" s="3">
        <v>0.78473633156113098</v>
      </c>
      <c r="Z14" s="74">
        <v>0.76220505232254498</v>
      </c>
      <c r="AA14" s="74">
        <v>0.84341837644633899</v>
      </c>
      <c r="AB14" s="76">
        <v>0.79653077143948803</v>
      </c>
      <c r="AC14" s="3">
        <v>0.78297356263177997</v>
      </c>
      <c r="AN14" s="74">
        <v>0.66642436972638297</v>
      </c>
      <c r="AO14" s="74">
        <v>0.74681042592740798</v>
      </c>
      <c r="AP14" s="76">
        <v>0.69721315342052004</v>
      </c>
      <c r="AQ14" s="74">
        <v>0.79501960364755897</v>
      </c>
      <c r="AR14" s="2"/>
      <c r="BB14" s="74">
        <v>0.67079257549225102</v>
      </c>
      <c r="BC14" s="74">
        <v>0.74026503412897404</v>
      </c>
      <c r="BD14" s="76">
        <v>0.68795520452583503</v>
      </c>
      <c r="BE14" s="74">
        <v>0.67085477824687001</v>
      </c>
      <c r="BF14" s="2"/>
      <c r="BP14" s="78">
        <v>0.62166400223265905</v>
      </c>
      <c r="BQ14" s="74">
        <v>0.61779315673134505</v>
      </c>
      <c r="BR14" s="76">
        <v>0.600366282527794</v>
      </c>
      <c r="BS14" s="3">
        <v>0.66669138764327596</v>
      </c>
      <c r="BT14" s="16">
        <f>N14/$J$4</f>
        <v>0.98912200730291622</v>
      </c>
      <c r="BU14" s="16">
        <f>AB14/$X$4</f>
        <v>0.96198056669729526</v>
      </c>
      <c r="BV14" s="16">
        <f>AP14/$AL$4</f>
        <v>0.86271222686254501</v>
      </c>
      <c r="BW14" s="16">
        <f>BD14/$AZ$4</f>
        <v>0.85128877093013322</v>
      </c>
      <c r="BX14" s="16">
        <f>BR14/$BN$4</f>
        <v>0.77248721068151638</v>
      </c>
      <c r="BY14" s="79"/>
    </row>
    <row r="15" spans="1:77" s="16" customFormat="1" x14ac:dyDescent="0.45">
      <c r="A15" s="62" t="s">
        <v>116</v>
      </c>
      <c r="B15" s="17"/>
      <c r="L15" s="16">
        <v>0.74831622260650399</v>
      </c>
      <c r="M15" s="16">
        <v>0.826873057125318</v>
      </c>
      <c r="N15" s="42">
        <v>0.78087035574619801</v>
      </c>
      <c r="O15" s="20">
        <v>0.78563684459188099</v>
      </c>
      <c r="Z15" s="16">
        <v>0.62876439672125295</v>
      </c>
      <c r="AA15" s="16">
        <v>0.71071846761507596</v>
      </c>
      <c r="AB15" s="42">
        <v>0.66257306591863896</v>
      </c>
      <c r="AC15" s="20">
        <v>0.78497759969528402</v>
      </c>
      <c r="AN15" s="16">
        <v>0.51853599516500004</v>
      </c>
      <c r="AO15" s="16">
        <v>0.597464398935032</v>
      </c>
      <c r="AP15" s="42">
        <v>0.55210074202646198</v>
      </c>
      <c r="AQ15" s="20">
        <v>0.80354340926354995</v>
      </c>
      <c r="AR15" s="17"/>
      <c r="BB15" s="16">
        <v>0.62083142999639895</v>
      </c>
      <c r="BC15" s="16">
        <v>0.69388212148350104</v>
      </c>
      <c r="BD15" s="42">
        <v>0.63983419521649998</v>
      </c>
      <c r="BE15" s="16">
        <v>0.67349878819856401</v>
      </c>
      <c r="BF15" s="17"/>
      <c r="BP15" s="21">
        <v>0.58542803505261598</v>
      </c>
      <c r="BQ15" s="16">
        <v>0.59172337662514396</v>
      </c>
      <c r="BR15" s="42">
        <v>0.57060565528977603</v>
      </c>
      <c r="BS15" s="20">
        <v>0.66735940837399998</v>
      </c>
      <c r="BT15" s="16">
        <f>N15/$J$4</f>
        <v>0.91412249356409203</v>
      </c>
      <c r="BU15" s="16">
        <f>AB15/$X$4</f>
        <v>0.80019810443594175</v>
      </c>
      <c r="BV15" s="16">
        <f t="shared" ref="BV15" si="15">AP15/$AL$4</f>
        <v>0.68315415202563246</v>
      </c>
      <c r="BW15" s="16">
        <f>BD15/$AZ$4</f>
        <v>0.79174292462885276</v>
      </c>
      <c r="BX15" s="16">
        <f>BR15/$BN$4</f>
        <v>0.73419441411334041</v>
      </c>
      <c r="BY15" s="71" t="s">
        <v>102</v>
      </c>
    </row>
    <row r="16" spans="1:77" s="74" customFormat="1" x14ac:dyDescent="0.45">
      <c r="A16" s="57"/>
      <c r="B16" s="2"/>
      <c r="L16" s="74">
        <v>0.76772042855283795</v>
      </c>
      <c r="M16" s="74">
        <v>0.83951392909986799</v>
      </c>
      <c r="N16" s="76">
        <v>0.796758536792332</v>
      </c>
      <c r="O16" s="3">
        <v>0.78546500597785995</v>
      </c>
      <c r="Z16" s="74">
        <v>0.66827064878702302</v>
      </c>
      <c r="AA16" s="74">
        <v>0.73515763936257705</v>
      </c>
      <c r="AB16" s="76">
        <v>0.693165824845142</v>
      </c>
      <c r="AC16" s="3">
        <v>0.78392771032184605</v>
      </c>
      <c r="AN16" s="74">
        <v>0.550794676070268</v>
      </c>
      <c r="AO16" s="74">
        <v>0.62379416105588503</v>
      </c>
      <c r="AP16" s="76">
        <v>0.57958306823762495</v>
      </c>
      <c r="AQ16" s="74">
        <v>0.79685623797504901</v>
      </c>
      <c r="AR16" s="2"/>
      <c r="BB16" s="74">
        <v>0.62456894099610105</v>
      </c>
      <c r="BC16" s="74">
        <v>0.68691627396864996</v>
      </c>
      <c r="BD16" s="76">
        <v>0.63825075388556696</v>
      </c>
      <c r="BE16" s="74">
        <v>0.66959116348542502</v>
      </c>
      <c r="BF16" s="2"/>
      <c r="BP16" s="78">
        <v>0.58653004621336502</v>
      </c>
      <c r="BQ16" s="74">
        <v>0.58344083632576704</v>
      </c>
      <c r="BR16" s="76">
        <v>0.56791131273690398</v>
      </c>
      <c r="BS16" s="3">
        <v>0.66815036026343599</v>
      </c>
      <c r="BT16" s="74">
        <f t="shared" ref="BT16:BT18" si="16">N16/$J$4</f>
        <v>0.93272192376298968</v>
      </c>
      <c r="BU16" s="74">
        <f t="shared" ref="BU16:BU18" si="17">AB16/$X$4</f>
        <v>0.83714537706392322</v>
      </c>
      <c r="BV16" s="74">
        <f t="shared" ref="BV16:BV18" si="18">AP16/$AL$4</f>
        <v>0.71716002057340367</v>
      </c>
      <c r="BW16" s="74">
        <f t="shared" ref="BW16:BW18" si="19">BD16/$AZ$4</f>
        <v>0.78978354440237564</v>
      </c>
      <c r="BX16" s="74">
        <f t="shared" ref="BX16:BX18" si="20">BR16/$BN$4</f>
        <v>0.73072762188356144</v>
      </c>
      <c r="BY16" s="79"/>
    </row>
    <row r="17" spans="1:77" s="74" customFormat="1" x14ac:dyDescent="0.45">
      <c r="A17" s="57"/>
      <c r="B17" s="2"/>
      <c r="L17" s="74">
        <v>0.76270169122557596</v>
      </c>
      <c r="M17" s="74">
        <v>0.83717472029125695</v>
      </c>
      <c r="N17" s="76">
        <v>0.79436567904203803</v>
      </c>
      <c r="O17" s="3">
        <v>0.78545908404096998</v>
      </c>
      <c r="Z17" s="74">
        <v>0.67335271587507595</v>
      </c>
      <c r="AA17" s="74">
        <v>0.75030408430853102</v>
      </c>
      <c r="AB17" s="76">
        <v>0.70355199239269095</v>
      </c>
      <c r="AC17" s="3">
        <v>0.78493800563913996</v>
      </c>
      <c r="AN17" s="74">
        <v>0.55551263493412895</v>
      </c>
      <c r="AO17" s="74">
        <v>0.63452688894683895</v>
      </c>
      <c r="AP17" s="76">
        <v>0.58387868238307306</v>
      </c>
      <c r="AQ17" s="74">
        <v>0.79418416299293804</v>
      </c>
      <c r="AR17" s="2"/>
      <c r="BB17" s="74">
        <v>0.65496179888238804</v>
      </c>
      <c r="BC17" s="74">
        <v>0.72044587336750199</v>
      </c>
      <c r="BD17" s="76">
        <v>0.67053477715536103</v>
      </c>
      <c r="BE17" s="74">
        <v>0.67424911998273596</v>
      </c>
      <c r="BF17" s="2"/>
      <c r="BP17" s="78">
        <v>0.58890006423427799</v>
      </c>
      <c r="BQ17" s="74">
        <v>0.588162803735928</v>
      </c>
      <c r="BR17" s="76">
        <v>0.571101207008755</v>
      </c>
      <c r="BS17" s="3">
        <v>0.667264416864218</v>
      </c>
      <c r="BT17" s="74">
        <f t="shared" ref="BT17" si="21">N17/$J$4</f>
        <v>0.92992073522081142</v>
      </c>
      <c r="BU17" s="74">
        <f t="shared" ref="BU17" si="22">AB17/$X$4</f>
        <v>0.84968888661992936</v>
      </c>
      <c r="BV17" s="74">
        <f t="shared" ref="BV17" si="23">AP17/$AL$4</f>
        <v>0.72247529442757696</v>
      </c>
      <c r="BW17" s="74">
        <f t="shared" ref="BW17" si="24">BD17/$AZ$4</f>
        <v>0.8297324048939031</v>
      </c>
      <c r="BX17" s="74">
        <f t="shared" ref="BX17" si="25">BR17/$BN$4</f>
        <v>0.73483203713828904</v>
      </c>
      <c r="BY17" s="79"/>
    </row>
    <row r="18" spans="1:77" s="24" customFormat="1" x14ac:dyDescent="0.45">
      <c r="A18" s="67"/>
      <c r="B18" s="26"/>
      <c r="L18" s="24">
        <v>0.75882164392513496</v>
      </c>
      <c r="M18" s="24">
        <v>0.83161146512944095</v>
      </c>
      <c r="N18" s="43">
        <v>0.78948452499567801</v>
      </c>
      <c r="O18" s="25">
        <v>0.78474386539649599</v>
      </c>
      <c r="Z18" s="24">
        <v>0.64505473480013398</v>
      </c>
      <c r="AA18" s="24">
        <v>0.71907759268012195</v>
      </c>
      <c r="AB18" s="43">
        <v>0.67376023850620403</v>
      </c>
      <c r="AC18" s="25">
        <v>0.774324114031684</v>
      </c>
      <c r="AN18" s="24">
        <v>0.544467239664716</v>
      </c>
      <c r="AO18" s="24">
        <v>0.62418453744212199</v>
      </c>
      <c r="AP18" s="43">
        <v>0.57573446511869797</v>
      </c>
      <c r="AQ18" s="24">
        <v>0.79975457334403299</v>
      </c>
      <c r="AR18" s="26"/>
      <c r="BB18" s="24">
        <v>0.63991550491946103</v>
      </c>
      <c r="BC18" s="24">
        <v>0.70461788218680199</v>
      </c>
      <c r="BD18" s="43">
        <v>0.65150925459972397</v>
      </c>
      <c r="BE18" s="24">
        <v>0.67069806643352203</v>
      </c>
      <c r="BF18" s="26"/>
      <c r="BP18" s="29">
        <v>0.59975524052457796</v>
      </c>
      <c r="BQ18" s="24">
        <v>0.60210492225712597</v>
      </c>
      <c r="BR18" s="43">
        <v>0.58670512734343205</v>
      </c>
      <c r="BS18" s="25">
        <v>0.667221793175652</v>
      </c>
      <c r="BT18" s="24">
        <f t="shared" si="16"/>
        <v>0.9242066334169784</v>
      </c>
      <c r="BU18" s="24">
        <f t="shared" si="17"/>
        <v>0.81370899819096587</v>
      </c>
      <c r="BV18" s="24">
        <f t="shared" si="18"/>
        <v>0.71239786577074315</v>
      </c>
      <c r="BW18" s="24">
        <f t="shared" si="19"/>
        <v>0.80618986374276103</v>
      </c>
      <c r="BX18" s="24">
        <f t="shared" si="20"/>
        <v>0.75490949525982043</v>
      </c>
      <c r="BY18" s="72"/>
    </row>
    <row r="19" spans="1:77" s="74" customFormat="1" x14ac:dyDescent="0.45">
      <c r="A19" s="62" t="s">
        <v>117</v>
      </c>
      <c r="B19" s="2"/>
      <c r="L19" s="74">
        <v>0.71338892634080198</v>
      </c>
      <c r="M19" s="74">
        <v>0.78743784206086198</v>
      </c>
      <c r="N19" s="76">
        <v>0.74492350051274003</v>
      </c>
      <c r="O19" s="3">
        <v>0.79731008533911896</v>
      </c>
      <c r="Z19" s="74">
        <v>0.61863884760952204</v>
      </c>
      <c r="AA19" s="74">
        <v>0.68419330569103398</v>
      </c>
      <c r="AB19" s="76">
        <v>0.64567819289774697</v>
      </c>
      <c r="AC19" s="3">
        <v>0.79961417650434796</v>
      </c>
      <c r="AN19" s="74">
        <v>0.55565087774468203</v>
      </c>
      <c r="AO19" s="74">
        <v>0.60395706946948402</v>
      </c>
      <c r="AP19" s="76">
        <v>0.57326385612122799</v>
      </c>
      <c r="AQ19" s="74">
        <v>0.81217631187267703</v>
      </c>
      <c r="AR19" s="2"/>
      <c r="BB19" s="74">
        <v>0.55954003654380002</v>
      </c>
      <c r="BC19" s="74">
        <v>0.59102916577935305</v>
      </c>
      <c r="BD19" s="76">
        <v>0.55119549494239195</v>
      </c>
      <c r="BE19" s="74">
        <v>0.68535661579045803</v>
      </c>
      <c r="BF19" s="2"/>
      <c r="BP19" s="78">
        <v>0.51995296893758502</v>
      </c>
      <c r="BQ19" s="74">
        <v>0.48936586628776502</v>
      </c>
      <c r="BR19" s="76">
        <v>0.49273792252989501</v>
      </c>
      <c r="BS19" s="3">
        <v>0.67771565102657905</v>
      </c>
      <c r="BT19" s="24">
        <f t="shared" ref="BT19:BT24" si="26">N19/$J$4</f>
        <v>0.87204146346736711</v>
      </c>
      <c r="BU19" s="24">
        <f t="shared" ref="BU19:BU24" si="27">AB19/$X$4</f>
        <v>0.77979394667371871</v>
      </c>
      <c r="BV19" s="24">
        <f t="shared" ref="BV19:BV24" si="28">AP19/$AL$4</f>
        <v>0.70934080269117095</v>
      </c>
      <c r="BW19" s="24">
        <f t="shared" ref="BW19:BW24" si="29">BD19/$AZ$4</f>
        <v>0.68205972183195285</v>
      </c>
      <c r="BX19" s="24">
        <f t="shared" ref="BX19:BX24" si="30">BR19/$BN$4</f>
        <v>0.63400253220333413</v>
      </c>
      <c r="BY19" s="79"/>
    </row>
    <row r="20" spans="1:77" x14ac:dyDescent="0.45">
      <c r="A20" s="57"/>
      <c r="L20" s="1">
        <v>0.73026235202853895</v>
      </c>
      <c r="M20" s="1">
        <v>0.797578017253741</v>
      </c>
      <c r="N20" s="37">
        <v>0.75732187391017403</v>
      </c>
      <c r="O20" s="3">
        <v>0.79610871918201198</v>
      </c>
      <c r="Z20" s="1">
        <v>0.62869537262900699</v>
      </c>
      <c r="AA20" s="1">
        <v>0.68444094648255505</v>
      </c>
      <c r="AB20" s="37">
        <v>0.64840160999936503</v>
      </c>
      <c r="AC20" s="3">
        <v>0.79871064016897098</v>
      </c>
      <c r="AN20" s="1">
        <v>0.52794745393560905</v>
      </c>
      <c r="AO20" s="1">
        <v>0.56540250526366798</v>
      </c>
      <c r="AP20" s="37">
        <v>0.53794470420823903</v>
      </c>
      <c r="AQ20" s="1">
        <v>0.81459976592048</v>
      </c>
      <c r="BB20" s="1">
        <v>0.57167381122854199</v>
      </c>
      <c r="BC20" s="1">
        <v>0.60807518030676699</v>
      </c>
      <c r="BD20" s="37">
        <v>0.56604004414237297</v>
      </c>
      <c r="BE20" s="1">
        <v>0.68767623733433403</v>
      </c>
      <c r="BP20" s="78">
        <v>0.50273964589023001</v>
      </c>
      <c r="BQ20" s="74">
        <v>0.47955433529526098</v>
      </c>
      <c r="BR20" s="76">
        <v>0.47559585347433903</v>
      </c>
      <c r="BS20" s="3">
        <v>0.67879713774467498</v>
      </c>
      <c r="BT20" s="24">
        <f t="shared" si="26"/>
        <v>0.88655556548545522</v>
      </c>
      <c r="BU20" s="24">
        <f t="shared" si="27"/>
        <v>0.78308305290878988</v>
      </c>
      <c r="BV20" s="24">
        <f t="shared" si="28"/>
        <v>0.66563786328409802</v>
      </c>
      <c r="BW20" s="24">
        <f t="shared" si="29"/>
        <v>0.7004286475415471</v>
      </c>
      <c r="BX20" s="24">
        <f t="shared" si="30"/>
        <v>0.61194594858860829</v>
      </c>
    </row>
    <row r="21" spans="1:77" s="74" customFormat="1" x14ac:dyDescent="0.45">
      <c r="A21" s="67"/>
      <c r="B21" s="2"/>
      <c r="L21" s="74">
        <v>0.731828088099445</v>
      </c>
      <c r="M21" s="74">
        <v>0.80823855242762099</v>
      </c>
      <c r="N21" s="76">
        <v>0.76457225153061803</v>
      </c>
      <c r="O21" s="3">
        <v>0.79763773181437303</v>
      </c>
      <c r="Z21" s="74">
        <v>0.65470965975614503</v>
      </c>
      <c r="AA21" s="74">
        <v>0.72014595145119298</v>
      </c>
      <c r="AB21" s="76">
        <v>0.68065275441996498</v>
      </c>
      <c r="AC21" s="3">
        <v>0.80065343646984899</v>
      </c>
      <c r="AN21" s="74">
        <v>0.52996294143755995</v>
      </c>
      <c r="AO21" s="74">
        <v>0.57537046208778098</v>
      </c>
      <c r="AP21" s="76">
        <v>0.545104230631132</v>
      </c>
      <c r="AQ21" s="74">
        <v>0.81529525585184504</v>
      </c>
      <c r="AR21" s="2"/>
      <c r="BB21" s="74">
        <v>0.57313281800180504</v>
      </c>
      <c r="BC21" s="74">
        <v>0.60367460175972698</v>
      </c>
      <c r="BD21" s="76">
        <v>0.56393118365922001</v>
      </c>
      <c r="BE21" s="74">
        <v>0.68815338213601696</v>
      </c>
      <c r="BF21" s="2"/>
      <c r="BP21" s="78">
        <v>0.49135341493436901</v>
      </c>
      <c r="BQ21" s="74">
        <v>0.46774532269626001</v>
      </c>
      <c r="BR21" s="76">
        <v>0.46397429463616802</v>
      </c>
      <c r="BS21" s="3">
        <v>0.68150730599832199</v>
      </c>
      <c r="BT21" s="24">
        <f t="shared" si="26"/>
        <v>0.8950431885856408</v>
      </c>
      <c r="BU21" s="24">
        <f t="shared" si="27"/>
        <v>0.82203317925519181</v>
      </c>
      <c r="BV21" s="24">
        <f t="shared" si="28"/>
        <v>0.6744968627927459</v>
      </c>
      <c r="BW21" s="24">
        <f t="shared" si="29"/>
        <v>0.69781910372683931</v>
      </c>
      <c r="BX21" s="24">
        <f t="shared" si="30"/>
        <v>0.59699256790761679</v>
      </c>
      <c r="BY21" s="79"/>
    </row>
    <row r="22" spans="1:77" s="81" customFormat="1" ht="28" x14ac:dyDescent="0.45">
      <c r="A22" s="82" t="s">
        <v>113</v>
      </c>
      <c r="B22" s="83"/>
      <c r="L22" s="81">
        <v>0.81089707273063505</v>
      </c>
      <c r="M22" s="81">
        <v>0.88633662736617203</v>
      </c>
      <c r="N22" s="84">
        <v>0.84376761890553897</v>
      </c>
      <c r="O22" s="85">
        <v>0.78460163549457396</v>
      </c>
      <c r="Z22" s="81">
        <v>0.765657939927325</v>
      </c>
      <c r="AA22" s="81">
        <v>0.84506484541962101</v>
      </c>
      <c r="AB22" s="84">
        <v>0.79932320317306405</v>
      </c>
      <c r="AC22" s="85">
        <v>0.78301534293072395</v>
      </c>
      <c r="AN22" s="81">
        <v>0.67609246532134504</v>
      </c>
      <c r="AO22" s="81">
        <v>0.76290947662860797</v>
      </c>
      <c r="AP22" s="84">
        <v>0.71247069010796804</v>
      </c>
      <c r="AQ22" s="81">
        <v>0.79774847532711701</v>
      </c>
      <c r="AR22" s="83"/>
      <c r="BB22" s="81">
        <v>0.66313759304054498</v>
      </c>
      <c r="BC22" s="81">
        <v>0.72792814163387098</v>
      </c>
      <c r="BD22" s="84">
        <v>0.678062571182795</v>
      </c>
      <c r="BE22" s="81">
        <v>0.67118014237401802</v>
      </c>
      <c r="BF22" s="83"/>
      <c r="BP22" s="88">
        <v>0.63688602089269597</v>
      </c>
      <c r="BQ22" s="81">
        <v>0.63022740847028202</v>
      </c>
      <c r="BR22" s="84">
        <v>0.61538217870323997</v>
      </c>
      <c r="BS22" s="85">
        <v>0.66521942940705503</v>
      </c>
      <c r="BT22" s="24">
        <f t="shared" si="26"/>
        <v>0.98775290175474595</v>
      </c>
      <c r="BU22" s="24">
        <f t="shared" si="27"/>
        <v>0.96535302280049684</v>
      </c>
      <c r="BV22" s="24">
        <f t="shared" si="28"/>
        <v>0.88159147976746854</v>
      </c>
      <c r="BW22" s="24">
        <f t="shared" si="29"/>
        <v>0.83904743948230531</v>
      </c>
      <c r="BX22" s="24">
        <f t="shared" si="30"/>
        <v>0.79180806211843313</v>
      </c>
      <c r="BY22" s="86" t="s">
        <v>128</v>
      </c>
    </row>
    <row r="23" spans="1:77" s="74" customFormat="1" x14ac:dyDescent="0.45">
      <c r="A23" s="66" t="s">
        <v>109</v>
      </c>
      <c r="B23" s="2"/>
      <c r="L23" s="74">
        <v>0.79757165713288602</v>
      </c>
      <c r="M23" s="74">
        <v>0.872118813378715</v>
      </c>
      <c r="N23" s="76">
        <v>0.82918907393234997</v>
      </c>
      <c r="O23" s="3">
        <v>0.78526984834650004</v>
      </c>
      <c r="Z23" s="74">
        <v>0.74205668228761401</v>
      </c>
      <c r="AA23" s="74">
        <v>0.81755265027334501</v>
      </c>
      <c r="AB23" s="76">
        <v>0.77182777220285703</v>
      </c>
      <c r="AC23" s="3">
        <v>0.78506582734152497</v>
      </c>
      <c r="AN23" s="74">
        <v>0.68919037194125299</v>
      </c>
      <c r="AO23" s="74">
        <v>0.76748648031195699</v>
      </c>
      <c r="AP23" s="76">
        <v>0.72026639954081095</v>
      </c>
      <c r="AQ23" s="74">
        <v>0.79761151804462305</v>
      </c>
      <c r="AR23" s="2"/>
      <c r="BB23" s="74">
        <v>0.62914124573501395</v>
      </c>
      <c r="BC23" s="74">
        <v>0.67959204719002198</v>
      </c>
      <c r="BD23" s="76">
        <v>0.63320267339030201</v>
      </c>
      <c r="BE23" s="74">
        <v>0.67384863218630497</v>
      </c>
      <c r="BF23" s="2"/>
      <c r="BP23" s="78">
        <v>0.59412958100360702</v>
      </c>
      <c r="BQ23" s="74">
        <v>0.58280258686233599</v>
      </c>
      <c r="BR23" s="76">
        <v>0.56886063403504605</v>
      </c>
      <c r="BS23" s="3">
        <v>0.66484258449895495</v>
      </c>
      <c r="BT23" s="24">
        <f t="shared" si="26"/>
        <v>0.97068659134180557</v>
      </c>
      <c r="BU23" s="24">
        <f t="shared" si="27"/>
        <v>0.93214643340721381</v>
      </c>
      <c r="BV23" s="24">
        <f t="shared" si="28"/>
        <v>0.89123767449541691</v>
      </c>
      <c r="BW23" s="24">
        <f t="shared" si="29"/>
        <v>0.78353695419984581</v>
      </c>
      <c r="BX23" s="24">
        <f t="shared" si="30"/>
        <v>0.73194910713845396</v>
      </c>
      <c r="BY23" s="79"/>
    </row>
    <row r="24" spans="1:77" x14ac:dyDescent="0.45">
      <c r="A24" s="57"/>
      <c r="L24" s="1">
        <v>0.79631487330023598</v>
      </c>
      <c r="M24" s="1">
        <v>0.87252192987153698</v>
      </c>
      <c r="N24" s="37">
        <v>0.82969988142537998</v>
      </c>
      <c r="O24" s="3">
        <v>0.785607313871584</v>
      </c>
      <c r="Z24" s="1">
        <v>0.74111528073761102</v>
      </c>
      <c r="AA24" s="1">
        <v>0.817177368785867</v>
      </c>
      <c r="AB24" s="37">
        <v>0.77215290094799705</v>
      </c>
      <c r="AC24" s="3">
        <v>0.784306789941843</v>
      </c>
      <c r="AN24" s="1">
        <v>0.66182991349023301</v>
      </c>
      <c r="AO24" s="1">
        <v>0.73362655721583503</v>
      </c>
      <c r="AP24" s="37">
        <v>0.68936976661430205</v>
      </c>
      <c r="AQ24" s="1">
        <v>0.79624706143389501</v>
      </c>
      <c r="BB24" s="1">
        <v>0.64807993508899697</v>
      </c>
      <c r="BC24" s="1">
        <v>0.71221550347164597</v>
      </c>
      <c r="BD24" s="37">
        <v>0.66493486174267702</v>
      </c>
      <c r="BE24" s="1">
        <v>0.67416020382716402</v>
      </c>
      <c r="BP24" s="78">
        <v>0.60005500599981298</v>
      </c>
      <c r="BQ24" s="74">
        <v>0.59419276534731702</v>
      </c>
      <c r="BR24" s="76">
        <v>0.58130433666571402</v>
      </c>
      <c r="BS24" s="3">
        <v>0.64193281193325702</v>
      </c>
      <c r="BT24" s="24">
        <f t="shared" si="26"/>
        <v>0.97128456591700063</v>
      </c>
      <c r="BU24" s="24">
        <f t="shared" si="27"/>
        <v>0.93253909561903781</v>
      </c>
      <c r="BV24" s="24">
        <f t="shared" si="28"/>
        <v>0.85300703747456541</v>
      </c>
      <c r="BW24" s="24">
        <f t="shared" si="29"/>
        <v>0.82280296373608497</v>
      </c>
      <c r="BX24" s="24">
        <f t="shared" si="30"/>
        <v>0.74796033464317302</v>
      </c>
    </row>
    <row r="25" spans="1:77" s="74" customFormat="1" x14ac:dyDescent="0.45">
      <c r="A25" s="67"/>
      <c r="B25" s="2"/>
      <c r="L25" s="74">
        <v>0.79659213585573896</v>
      </c>
      <c r="M25" s="74">
        <v>0.871157359954287</v>
      </c>
      <c r="N25" s="76">
        <v>0.82818156897616102</v>
      </c>
      <c r="O25" s="3">
        <v>0.78551469705243704</v>
      </c>
      <c r="Z25" s="74">
        <v>0.73844967364008396</v>
      </c>
      <c r="AA25" s="74">
        <v>0.81289495557423197</v>
      </c>
      <c r="AB25" s="76">
        <v>0.76783775574373603</v>
      </c>
      <c r="AC25" s="3">
        <v>0.78467311992053301</v>
      </c>
      <c r="AN25" s="74">
        <v>0.69624413024181997</v>
      </c>
      <c r="AO25" s="74">
        <v>0.77266785998239795</v>
      </c>
      <c r="AP25" s="76">
        <v>0.72566557748558402</v>
      </c>
      <c r="AQ25" s="74">
        <v>0.79788286323660296</v>
      </c>
      <c r="AR25" s="2"/>
      <c r="BB25" s="74">
        <v>0.65178128763308696</v>
      </c>
      <c r="BC25" s="74">
        <v>0.71035381778656304</v>
      </c>
      <c r="BD25" s="76">
        <v>0.66715458249196802</v>
      </c>
      <c r="BE25" s="74">
        <v>0.67349925627019902</v>
      </c>
      <c r="BF25" s="2"/>
      <c r="BP25" s="78">
        <v>0.59589735729410198</v>
      </c>
      <c r="BQ25" s="74">
        <v>0.58772249013065203</v>
      </c>
      <c r="BR25" s="76">
        <v>0.57567752344846901</v>
      </c>
      <c r="BS25" s="3">
        <v>0.66622575593539302</v>
      </c>
      <c r="BT25" s="74">
        <f>N25/$J$4</f>
        <v>0.96950716003665693</v>
      </c>
      <c r="BU25" s="74">
        <f>AB25/$X$4</f>
        <v>0.9273276386636784</v>
      </c>
      <c r="BV25" s="74">
        <f t="shared" ref="BV25" si="31">AP25/$AL$4</f>
        <v>0.89791846760023797</v>
      </c>
      <c r="BW25" s="74">
        <f>BD25/$AZ$4</f>
        <v>0.82554968813912877</v>
      </c>
      <c r="BX25" s="74">
        <f>BR25/$BN$4</f>
        <v>0.74072035236283196</v>
      </c>
      <c r="BY25" s="79"/>
    </row>
    <row r="26" spans="1:77" s="16" customFormat="1" x14ac:dyDescent="0.45">
      <c r="A26" s="66" t="s">
        <v>114</v>
      </c>
      <c r="B26" s="17"/>
      <c r="L26" s="16">
        <v>0.81194837146592702</v>
      </c>
      <c r="M26" s="16">
        <v>0.88769500609628205</v>
      </c>
      <c r="N26" s="42">
        <v>0.84444268057921701</v>
      </c>
      <c r="O26" s="20">
        <v>0.78450575681967805</v>
      </c>
      <c r="Z26" s="16">
        <v>0.75970127799030396</v>
      </c>
      <c r="AA26" s="16">
        <v>0.84035217822304997</v>
      </c>
      <c r="AB26" s="42">
        <v>0.79377204325164497</v>
      </c>
      <c r="AC26" s="20">
        <v>0.78247955187147</v>
      </c>
      <c r="AN26" s="16">
        <v>0.67541301008133803</v>
      </c>
      <c r="AO26" s="16">
        <v>0.756468895933046</v>
      </c>
      <c r="AP26" s="42">
        <v>0.70676463985287297</v>
      </c>
      <c r="AQ26" s="16">
        <v>0.77576382425979096</v>
      </c>
      <c r="AR26" s="17"/>
      <c r="BB26" s="16">
        <v>0.66869107953819595</v>
      </c>
      <c r="BC26" s="16">
        <v>0.73599643235710999</v>
      </c>
      <c r="BD26" s="42">
        <v>0.68487611422385597</v>
      </c>
      <c r="BE26" s="16">
        <v>0.66993728142862596</v>
      </c>
      <c r="BF26" s="17"/>
      <c r="BP26" s="21">
        <v>0.62717710542549099</v>
      </c>
      <c r="BQ26" s="16">
        <v>0.61546559132576195</v>
      </c>
      <c r="BR26" s="42">
        <v>0.60162179819651496</v>
      </c>
      <c r="BS26" s="20">
        <v>0.66694824888583104</v>
      </c>
      <c r="BT26" s="74">
        <f t="shared" ref="BT26:BT28" si="32">N26/$J$4</f>
        <v>0.98854315977377705</v>
      </c>
      <c r="BU26" s="74">
        <f t="shared" ref="BU26:BU28" si="33">AB26/$X$4</f>
        <v>0.95864881480438469</v>
      </c>
      <c r="BV26" s="74">
        <f t="shared" ref="BV26:BV28" si="34">AP26/$AL$4</f>
        <v>0.87453097137342573</v>
      </c>
      <c r="BW26" s="74">
        <f t="shared" ref="BW26:BW28" si="35">BD26/$AZ$4</f>
        <v>0.8474786464023869</v>
      </c>
      <c r="BX26" s="74">
        <f t="shared" ref="BX26:BX28" si="36">BR26/$BN$4</f>
        <v>0.77410267414960732</v>
      </c>
      <c r="BY26" s="71"/>
    </row>
    <row r="27" spans="1:77" s="74" customFormat="1" x14ac:dyDescent="0.45">
      <c r="A27" s="57"/>
      <c r="B27" s="2"/>
      <c r="L27" s="74">
        <v>0.80328936067702394</v>
      </c>
      <c r="M27" s="74">
        <v>0.88931478863746205</v>
      </c>
      <c r="N27" s="76">
        <v>0.83947667938304305</v>
      </c>
      <c r="O27" s="3">
        <v>0.78422776556089802</v>
      </c>
      <c r="Z27" s="74">
        <v>0.74618614657966298</v>
      </c>
      <c r="AA27" s="74">
        <v>0.83756286325439</v>
      </c>
      <c r="AB27" s="76">
        <v>0.785239190463908</v>
      </c>
      <c r="AC27" s="3">
        <v>0.78137083802072405</v>
      </c>
      <c r="AN27" s="74">
        <v>0.64765309658574499</v>
      </c>
      <c r="AO27" s="74">
        <v>0.72510956812043403</v>
      </c>
      <c r="AP27" s="76">
        <v>0.678089751887056</v>
      </c>
      <c r="AQ27" s="74">
        <v>0.77719747082568003</v>
      </c>
      <c r="AR27" s="2"/>
      <c r="BB27" s="74">
        <v>0.66597397735882402</v>
      </c>
      <c r="BC27" s="74">
        <v>0.72522647304287702</v>
      </c>
      <c r="BD27" s="76">
        <v>0.67874152091892304</v>
      </c>
      <c r="BE27" s="74">
        <v>0.66730840424135895</v>
      </c>
      <c r="BF27" s="2"/>
      <c r="BP27" s="78">
        <v>0.62215284176307695</v>
      </c>
      <c r="BQ27" s="74">
        <v>0.62307657800909899</v>
      </c>
      <c r="BR27" s="76">
        <v>0.60253357256996398</v>
      </c>
      <c r="BS27" s="3">
        <v>0.66147152849227997</v>
      </c>
      <c r="BT27" s="74">
        <f t="shared" si="32"/>
        <v>0.98272973202218716</v>
      </c>
      <c r="BU27" s="74">
        <f t="shared" si="33"/>
        <v>0.94834357757487053</v>
      </c>
      <c r="BV27" s="74">
        <f t="shared" si="34"/>
        <v>0.83904945997241631</v>
      </c>
      <c r="BW27" s="74">
        <f t="shared" si="35"/>
        <v>0.8398875847164563</v>
      </c>
      <c r="BX27" s="74">
        <f t="shared" si="36"/>
        <v>0.77527584803197624</v>
      </c>
      <c r="BY27" s="79"/>
    </row>
    <row r="28" spans="1:77" s="24" customFormat="1" x14ac:dyDescent="0.45">
      <c r="A28" s="67"/>
      <c r="B28" s="26"/>
      <c r="L28" s="24">
        <v>0.81244761722029402</v>
      </c>
      <c r="M28" s="24">
        <v>0.88768740655092104</v>
      </c>
      <c r="N28" s="43">
        <v>0.84464344771839395</v>
      </c>
      <c r="O28" s="25">
        <v>0.78488366837110102</v>
      </c>
      <c r="Z28" s="24">
        <v>0.76060123135381197</v>
      </c>
      <c r="AA28" s="24">
        <v>0.84037033823422902</v>
      </c>
      <c r="AB28" s="43">
        <v>0.79477465926961</v>
      </c>
      <c r="AC28" s="25">
        <v>0.78317806374843801</v>
      </c>
      <c r="AN28" s="24">
        <v>0.68656483070276697</v>
      </c>
      <c r="AO28" s="24">
        <v>0.76701443395456403</v>
      </c>
      <c r="AP28" s="43">
        <v>0.71908592581969499</v>
      </c>
      <c r="AQ28" s="24">
        <v>0.79368956588869599</v>
      </c>
      <c r="AR28" s="26"/>
      <c r="BB28" s="24">
        <v>0.65461926041613405</v>
      </c>
      <c r="BC28" s="24">
        <v>0.72183007405289401</v>
      </c>
      <c r="BD28" s="43">
        <v>0.67007035720019004</v>
      </c>
      <c r="BE28" s="24">
        <v>0.67117781990465397</v>
      </c>
      <c r="BF28" s="26"/>
      <c r="BP28" s="29">
        <v>0.62641339306211097</v>
      </c>
      <c r="BQ28" s="24">
        <v>0.61677948206001998</v>
      </c>
      <c r="BR28" s="43">
        <v>0.59823978723202298</v>
      </c>
      <c r="BS28" s="25">
        <v>0.66576874557126098</v>
      </c>
      <c r="BT28" s="74">
        <f t="shared" si="32"/>
        <v>0.98877818695407604</v>
      </c>
      <c r="BU28" s="74">
        <f t="shared" si="33"/>
        <v>0.95985968720219395</v>
      </c>
      <c r="BV28" s="74">
        <f t="shared" si="34"/>
        <v>0.88977698903975622</v>
      </c>
      <c r="BW28" s="74">
        <f t="shared" si="35"/>
        <v>0.82915772286485234</v>
      </c>
      <c r="BX28" s="74">
        <f t="shared" si="36"/>
        <v>0.76975106365367019</v>
      </c>
      <c r="BY28" s="72"/>
    </row>
    <row r="29" spans="1:77" s="16" customFormat="1" x14ac:dyDescent="0.45">
      <c r="A29" s="66" t="s">
        <v>130</v>
      </c>
      <c r="B29" s="17">
        <v>0.39863945578231202</v>
      </c>
      <c r="C29" s="16">
        <v>0.77927149591844003</v>
      </c>
      <c r="D29" s="16">
        <v>0.90493372506282999</v>
      </c>
      <c r="E29" s="16">
        <v>0.84860991874772096</v>
      </c>
      <c r="F29" s="16">
        <v>0.87506422970268105</v>
      </c>
      <c r="G29" s="16">
        <v>0.56647230320699704</v>
      </c>
      <c r="H29" s="16">
        <v>0.80201580321209198</v>
      </c>
      <c r="I29" s="16">
        <v>0.88501472998334096</v>
      </c>
      <c r="J29" s="16">
        <v>0.84034614538349095</v>
      </c>
      <c r="K29" s="16">
        <v>0.78322154027726099</v>
      </c>
      <c r="L29" s="16">
        <v>0.79562854943245898</v>
      </c>
      <c r="M29" s="16">
        <v>0.87236272432886897</v>
      </c>
      <c r="N29" s="42">
        <v>0.82883670802440401</v>
      </c>
      <c r="O29" s="20">
        <v>0.78608174968727096</v>
      </c>
      <c r="P29" s="16">
        <v>0.34149659863945497</v>
      </c>
      <c r="Q29" s="16">
        <v>0.76055388619804098</v>
      </c>
      <c r="R29" s="16">
        <v>0.88595831715141204</v>
      </c>
      <c r="S29" s="16">
        <v>0.84292001846283304</v>
      </c>
      <c r="T29" s="16">
        <v>0.863254406752612</v>
      </c>
      <c r="U29" s="16">
        <v>0.52165764264889602</v>
      </c>
      <c r="V29" s="16">
        <v>0.76876946725223105</v>
      </c>
      <c r="W29" s="16">
        <v>0.86351276326582704</v>
      </c>
      <c r="X29" s="16">
        <v>0.81262150608553496</v>
      </c>
      <c r="Y29" s="16">
        <v>0.77618300997311096</v>
      </c>
      <c r="Z29" s="16">
        <v>0.74751462518482903</v>
      </c>
      <c r="AA29" s="16">
        <v>0.82872340477490603</v>
      </c>
      <c r="AB29" s="42">
        <v>0.78251768402556598</v>
      </c>
      <c r="AC29" s="20">
        <v>0.78058378755105895</v>
      </c>
      <c r="AD29" s="16">
        <v>0.28877551020408099</v>
      </c>
      <c r="AE29" s="16">
        <v>0.758281751369977</v>
      </c>
      <c r="AF29" s="16">
        <v>0.87664728114669899</v>
      </c>
      <c r="AG29" s="16">
        <v>0.84897729046256798</v>
      </c>
      <c r="AH29" s="16">
        <v>0.86222244921707802</v>
      </c>
      <c r="AI29" s="16">
        <v>0.49625156184922897</v>
      </c>
      <c r="AJ29" s="16">
        <v>0.75689928714576105</v>
      </c>
      <c r="AK29" s="16">
        <v>0.843492296977288</v>
      </c>
      <c r="AL29" s="16">
        <v>0.79762458246855195</v>
      </c>
      <c r="AM29" s="16">
        <v>0.77498477359326901</v>
      </c>
      <c r="AN29" s="16">
        <v>0.66650295573629303</v>
      </c>
      <c r="AO29" s="16">
        <v>0.738912860060987</v>
      </c>
      <c r="AP29" s="42">
        <v>0.69700229566131999</v>
      </c>
      <c r="AQ29" s="20">
        <v>0.78221399994825502</v>
      </c>
      <c r="AR29" s="17">
        <v>0.306754130223518</v>
      </c>
      <c r="AS29" s="16">
        <v>0.65446633027964596</v>
      </c>
      <c r="AT29" s="16">
        <v>0.82018550857323402</v>
      </c>
      <c r="AU29" s="16">
        <v>0.76756522502534896</v>
      </c>
      <c r="AV29" s="16">
        <v>0.78799631873374598</v>
      </c>
      <c r="AW29" s="16">
        <v>0.371428571428571</v>
      </c>
      <c r="AX29" s="16">
        <v>0.77091746807984096</v>
      </c>
      <c r="AY29" s="16">
        <v>0.83825378270420503</v>
      </c>
      <c r="AZ29" s="16">
        <v>0.79879702968678701</v>
      </c>
      <c r="BA29" s="16">
        <v>0.64974651825440599</v>
      </c>
      <c r="BB29" s="16">
        <v>0.62244300853043399</v>
      </c>
      <c r="BC29" s="16">
        <v>0.71488296764472603</v>
      </c>
      <c r="BD29" s="42">
        <v>0.650550472691524</v>
      </c>
      <c r="BE29" s="20">
        <v>0.64878214096049203</v>
      </c>
      <c r="BF29" s="17">
        <v>0.250388726919339</v>
      </c>
      <c r="BG29" s="16">
        <v>0.67153337862395202</v>
      </c>
      <c r="BH29" s="16">
        <v>0.81769071574381602</v>
      </c>
      <c r="BI29" s="16">
        <v>0.79074596239783801</v>
      </c>
      <c r="BJ29" s="16">
        <v>0.80122053491525103</v>
      </c>
      <c r="BK29" s="16">
        <v>0.40216576426488898</v>
      </c>
      <c r="BL29" s="16">
        <v>0.76030235676592495</v>
      </c>
      <c r="BM29" s="16">
        <v>0.79750950519239405</v>
      </c>
      <c r="BN29" s="16">
        <v>0.77492397557374504</v>
      </c>
      <c r="BO29" s="16">
        <v>0.67184608787609101</v>
      </c>
      <c r="BP29" s="21">
        <v>0.57546214260641504</v>
      </c>
      <c r="BQ29" s="16">
        <v>0.61119912501460605</v>
      </c>
      <c r="BR29" s="42">
        <v>0.57259830615322904</v>
      </c>
      <c r="BS29" s="20">
        <v>0.66944154372263898</v>
      </c>
      <c r="BT29" s="16">
        <f>N29/J29</f>
        <v>0.98630393270402328</v>
      </c>
      <c r="BU29" s="16">
        <f>AB29/X29</f>
        <v>0.9629546820573559</v>
      </c>
      <c r="BV29" s="16">
        <f>AP29/AL29</f>
        <v>0.87384756059571522</v>
      </c>
      <c r="BW29" s="16">
        <f>BD29/AZ29</f>
        <v>0.81441273379122181</v>
      </c>
      <c r="BX29" s="16">
        <f>BR29/BN29</f>
        <v>0.73890900811177462</v>
      </c>
      <c r="BY29" s="71"/>
    </row>
    <row r="30" spans="1:77" s="74" customFormat="1" x14ac:dyDescent="0.45">
      <c r="A30" s="57"/>
      <c r="B30" s="2">
        <v>0.40058309037900802</v>
      </c>
      <c r="C30" s="74">
        <v>0.76964022726456205</v>
      </c>
      <c r="D30" s="74">
        <v>0.90236233025327395</v>
      </c>
      <c r="E30" s="74">
        <v>0.83996506829016604</v>
      </c>
      <c r="F30" s="74">
        <v>0.86901157570623999</v>
      </c>
      <c r="G30" s="74">
        <v>0.58571428571428497</v>
      </c>
      <c r="H30" s="74">
        <v>0.80006393946348597</v>
      </c>
      <c r="I30" s="74">
        <v>0.88825249045000698</v>
      </c>
      <c r="J30" s="74">
        <v>0.84070673971183796</v>
      </c>
      <c r="K30" s="74">
        <v>0.77726649712517704</v>
      </c>
      <c r="L30" s="74">
        <v>0.79415679991741905</v>
      </c>
      <c r="M30" s="74">
        <v>0.87585717084251502</v>
      </c>
      <c r="N30" s="76">
        <v>0.82956706879386399</v>
      </c>
      <c r="O30" s="3">
        <v>0.78068984153702903</v>
      </c>
      <c r="P30" s="74">
        <v>0.33205608774121897</v>
      </c>
      <c r="Q30" s="74">
        <v>0.75243633730197801</v>
      </c>
      <c r="R30" s="74">
        <v>0.87215625665658503</v>
      </c>
      <c r="S30" s="74">
        <v>0.84558445284568395</v>
      </c>
      <c r="T30" s="74">
        <v>0.85786447680767497</v>
      </c>
      <c r="U30" s="74">
        <v>0.53565181174510601</v>
      </c>
      <c r="V30" s="74">
        <v>0.7679938294259</v>
      </c>
      <c r="W30" s="74">
        <v>0.87452969811514003</v>
      </c>
      <c r="X30" s="74">
        <v>0.81690701533298105</v>
      </c>
      <c r="Y30" s="74">
        <v>0.78225247280618104</v>
      </c>
      <c r="Z30" s="74">
        <v>0.75193405571863303</v>
      </c>
      <c r="AA30" s="74">
        <v>0.842776920075053</v>
      </c>
      <c r="AB30" s="76">
        <v>0.79066418375341496</v>
      </c>
      <c r="AC30" s="3">
        <v>0.78792008100257105</v>
      </c>
      <c r="AD30" s="74">
        <v>0.27857142857142803</v>
      </c>
      <c r="AE30" s="74">
        <v>0.75789113322060897</v>
      </c>
      <c r="AF30" s="74">
        <v>0.867022591557296</v>
      </c>
      <c r="AG30" s="74">
        <v>0.85749807472531803</v>
      </c>
      <c r="AH30" s="74">
        <v>0.86182852336279403</v>
      </c>
      <c r="AI30" s="74">
        <v>0.44856309870887101</v>
      </c>
      <c r="AJ30" s="74">
        <v>0.73118628259056095</v>
      </c>
      <c r="AK30" s="74">
        <v>0.86213655189228899</v>
      </c>
      <c r="AL30" s="74">
        <v>0.790813768498281</v>
      </c>
      <c r="AM30" s="74">
        <v>0.77758698966420603</v>
      </c>
      <c r="AN30" s="74">
        <v>0.68996910250659405</v>
      </c>
      <c r="AO30" s="74">
        <v>0.79922511081979297</v>
      </c>
      <c r="AP30" s="76">
        <v>0.73461861881370505</v>
      </c>
      <c r="AQ30" s="3">
        <v>0.783620629371512</v>
      </c>
      <c r="AR30" s="2">
        <v>0.29217687074829901</v>
      </c>
      <c r="AS30" s="74">
        <v>0.651528847667593</v>
      </c>
      <c r="AT30" s="74">
        <v>0.81234582879531103</v>
      </c>
      <c r="AU30" s="74">
        <v>0.77080131548545505</v>
      </c>
      <c r="AV30" s="74">
        <v>0.78593175808906302</v>
      </c>
      <c r="AW30" s="74">
        <v>0.39047619047618998</v>
      </c>
      <c r="AX30" s="74">
        <v>0.77509902619845095</v>
      </c>
      <c r="AY30" s="74">
        <v>0.83944974945684903</v>
      </c>
      <c r="AZ30" s="74">
        <v>0.80133885960541396</v>
      </c>
      <c r="BA30" s="74">
        <v>0.65179013401555397</v>
      </c>
      <c r="BB30" s="74">
        <v>0.63294006365071698</v>
      </c>
      <c r="BC30" s="74">
        <v>0.71217252976059298</v>
      </c>
      <c r="BD30" s="76">
        <v>0.65246685216093703</v>
      </c>
      <c r="BE30" s="3">
        <v>0.66552160824590101</v>
      </c>
      <c r="BF30" s="2">
        <v>0.24115646258503401</v>
      </c>
      <c r="BG30" s="74">
        <v>0.66883971691382904</v>
      </c>
      <c r="BH30" s="74">
        <v>0.81137792073111603</v>
      </c>
      <c r="BI30" s="74">
        <v>0.79284179548899003</v>
      </c>
      <c r="BJ30" s="74">
        <v>0.79905215097382998</v>
      </c>
      <c r="BK30" s="74">
        <v>0.37414965986394499</v>
      </c>
      <c r="BL30" s="74">
        <v>0.74793840048917404</v>
      </c>
      <c r="BM30" s="74">
        <v>0.80834575302890099</v>
      </c>
      <c r="BN30" s="74">
        <v>0.77410235717153297</v>
      </c>
      <c r="BO30" s="74">
        <v>0.67035549337154299</v>
      </c>
      <c r="BP30" s="78">
        <v>0.55600406553341297</v>
      </c>
      <c r="BQ30" s="74">
        <v>0.61644062378881004</v>
      </c>
      <c r="BR30" s="76">
        <v>0.56512566163604805</v>
      </c>
      <c r="BS30" s="3">
        <v>0.68390122935227904</v>
      </c>
      <c r="BT30" s="16">
        <f>N30/J30</f>
        <v>0.98674963528686321</v>
      </c>
      <c r="BU30" s="16">
        <f>AB30/X30</f>
        <v>0.96787537493619247</v>
      </c>
      <c r="BV30" s="16">
        <f>AP30/AL30</f>
        <v>0.92894009699491198</v>
      </c>
      <c r="BW30" s="16">
        <f>BD30/AZ30</f>
        <v>0.81422090585026319</v>
      </c>
      <c r="BX30" s="16">
        <f>BR30/BN30</f>
        <v>0.73003997003825438</v>
      </c>
      <c r="BY30" s="79"/>
    </row>
    <row r="31" spans="1:77" s="24" customFormat="1" x14ac:dyDescent="0.45">
      <c r="A31" s="67"/>
      <c r="B31" s="26">
        <v>0.36143273635985002</v>
      </c>
      <c r="C31" s="24">
        <v>0.76847530083737303</v>
      </c>
      <c r="D31" s="24">
        <v>0.90011598279300498</v>
      </c>
      <c r="E31" s="24">
        <v>0.83997741001061998</v>
      </c>
      <c r="F31" s="24">
        <v>0.86789759110859899</v>
      </c>
      <c r="G31" s="24">
        <v>0.57346938775510203</v>
      </c>
      <c r="H31" s="24">
        <v>0.80646332480317395</v>
      </c>
      <c r="I31" s="24">
        <v>0.88805724672419695</v>
      </c>
      <c r="J31" s="24">
        <v>0.843958241320242</v>
      </c>
      <c r="K31" s="24">
        <v>0.77685470893887498</v>
      </c>
      <c r="L31" s="24">
        <v>0.79856015003488401</v>
      </c>
      <c r="M31" s="24">
        <v>0.87380054582926003</v>
      </c>
      <c r="N31" s="43">
        <v>0.83118213192178803</v>
      </c>
      <c r="O31" s="25">
        <v>0.78027735870507997</v>
      </c>
      <c r="P31" s="24">
        <v>0.30140913508260397</v>
      </c>
      <c r="Q31" s="24">
        <v>0.74452001771454901</v>
      </c>
      <c r="R31" s="24">
        <v>0.87456762090078299</v>
      </c>
      <c r="S31" s="24">
        <v>0.83318891711840104</v>
      </c>
      <c r="T31" s="24">
        <v>0.85260585056484195</v>
      </c>
      <c r="U31" s="24">
        <v>0.54252394835485196</v>
      </c>
      <c r="V31" s="24">
        <v>0.76642086656060104</v>
      </c>
      <c r="W31" s="24">
        <v>0.86719291140232801</v>
      </c>
      <c r="X31" s="24">
        <v>0.81278884816084596</v>
      </c>
      <c r="Y31" s="24">
        <v>0.77715958039256205</v>
      </c>
      <c r="Z31" s="24">
        <v>0.75146733325833104</v>
      </c>
      <c r="AA31" s="24">
        <v>0.83645582961471798</v>
      </c>
      <c r="AB31" s="43">
        <v>0.78796671234746496</v>
      </c>
      <c r="AC31" s="25">
        <v>0.78155857141944596</v>
      </c>
      <c r="AD31" s="24">
        <v>0.250388726919339</v>
      </c>
      <c r="AE31" s="24">
        <v>0.74184799180945005</v>
      </c>
      <c r="AF31" s="24">
        <v>0.86317104533031697</v>
      </c>
      <c r="AG31" s="24">
        <v>0.84067071425434103</v>
      </c>
      <c r="AH31" s="24">
        <v>0.85140025179271095</v>
      </c>
      <c r="AI31" s="24">
        <v>0.490795501874219</v>
      </c>
      <c r="AJ31" s="24">
        <v>0.74678029237066501</v>
      </c>
      <c r="AK31" s="24">
        <v>0.86045427581951495</v>
      </c>
      <c r="AL31" s="24">
        <v>0.79927434246739004</v>
      </c>
      <c r="AM31" s="24">
        <v>0.77479381670839298</v>
      </c>
      <c r="AN31" s="24">
        <v>0.71914998722519496</v>
      </c>
      <c r="AO31" s="24">
        <v>0.81682204132921699</v>
      </c>
      <c r="AP31" s="43">
        <v>0.76215098305613005</v>
      </c>
      <c r="AQ31" s="25">
        <v>0.78201143980779098</v>
      </c>
      <c r="AR31" s="26">
        <v>0.28738719977786997</v>
      </c>
      <c r="AS31" s="24">
        <v>0.65653043812817102</v>
      </c>
      <c r="AT31" s="24">
        <v>0.81824324623571298</v>
      </c>
      <c r="AU31" s="24">
        <v>0.772551015703695</v>
      </c>
      <c r="AV31" s="24">
        <v>0.78962075692624301</v>
      </c>
      <c r="AW31" s="24">
        <v>0.41302235179786101</v>
      </c>
      <c r="AX31" s="24">
        <v>0.78328699376819999</v>
      </c>
      <c r="AY31" s="24">
        <v>0.83838296351858599</v>
      </c>
      <c r="AZ31" s="24">
        <v>0.80597879164317598</v>
      </c>
      <c r="BA31" s="24">
        <v>0.65773707626590605</v>
      </c>
      <c r="BB31" s="24">
        <v>0.633661672059457</v>
      </c>
      <c r="BC31" s="24">
        <v>0.71819807016083603</v>
      </c>
      <c r="BD31" s="43">
        <v>0.66167522462598805</v>
      </c>
      <c r="BE31" s="25">
        <v>0.64607284188024705</v>
      </c>
      <c r="BF31" s="26">
        <v>0.24115646258503401</v>
      </c>
      <c r="BG31" s="24">
        <v>0.66427261568393203</v>
      </c>
      <c r="BH31" s="24">
        <v>0.80793961523138202</v>
      </c>
      <c r="BI31" s="24">
        <v>0.78939191483114701</v>
      </c>
      <c r="BJ31" s="24">
        <v>0.79568966883504799</v>
      </c>
      <c r="BK31" s="24">
        <v>0.40447035957240002</v>
      </c>
      <c r="BL31" s="24">
        <v>0.740876871787428</v>
      </c>
      <c r="BM31" s="24">
        <v>0.80925608302029595</v>
      </c>
      <c r="BN31" s="24">
        <v>0.77046088686352598</v>
      </c>
      <c r="BO31" s="24">
        <v>0.66755535885819595</v>
      </c>
      <c r="BP31" s="29">
        <v>0.56791810455790703</v>
      </c>
      <c r="BQ31" s="24">
        <v>0.62729977909288304</v>
      </c>
      <c r="BR31" s="43">
        <v>0.577619344727474</v>
      </c>
      <c r="BS31" s="25">
        <v>0.68768762852991605</v>
      </c>
      <c r="BT31" s="24">
        <f>N31/J31</f>
        <v>0.9848616806224112</v>
      </c>
      <c r="BU31" s="24">
        <f>AB31/X31</f>
        <v>0.96946053594417814</v>
      </c>
      <c r="BV31" s="24">
        <f>AP31/AL31</f>
        <v>0.95355367057491325</v>
      </c>
      <c r="BW31" s="24">
        <f>BD31/AZ31</f>
        <v>0.82095860522211583</v>
      </c>
      <c r="BX31" s="24">
        <f>BR31/BN31</f>
        <v>0.74970625319983231</v>
      </c>
      <c r="BY31" s="72"/>
    </row>
    <row r="36" spans="2:36" x14ac:dyDescent="0.45">
      <c r="R36" s="44" t="s">
        <v>139</v>
      </c>
      <c r="S36" s="44"/>
      <c r="T36" s="44"/>
      <c r="U36" s="44"/>
      <c r="V36" s="44"/>
      <c r="W36" s="44"/>
      <c r="X36" s="44"/>
      <c r="Y36" s="44"/>
      <c r="Z36" s="44"/>
      <c r="AE36" s="44" t="s">
        <v>140</v>
      </c>
      <c r="AF36" s="44"/>
      <c r="AG36" s="44"/>
      <c r="AH36" s="44"/>
      <c r="AI36" s="44"/>
      <c r="AJ36" s="44"/>
    </row>
    <row r="37" spans="2:36" x14ac:dyDescent="0.45">
      <c r="R37" s="44" t="s">
        <v>134</v>
      </c>
      <c r="S37" s="44"/>
      <c r="T37" s="44"/>
      <c r="U37" s="44" t="s">
        <v>135</v>
      </c>
      <c r="V37" s="44"/>
      <c r="W37" s="44"/>
      <c r="X37" s="44" t="s">
        <v>136</v>
      </c>
      <c r="Y37" s="44"/>
      <c r="Z37" s="44"/>
      <c r="AA37" s="90"/>
      <c r="AB37" s="90"/>
      <c r="AC37" s="91"/>
      <c r="AD37" s="92"/>
      <c r="AE37" s="89" t="s">
        <v>134</v>
      </c>
      <c r="AF37" s="89"/>
      <c r="AG37" s="89"/>
      <c r="AH37" s="44" t="s">
        <v>135</v>
      </c>
      <c r="AI37" s="44"/>
      <c r="AJ37" s="44"/>
    </row>
    <row r="38" spans="2:36" x14ac:dyDescent="0.45">
      <c r="R38" s="1" t="s">
        <v>132</v>
      </c>
      <c r="S38" s="1" t="s">
        <v>133</v>
      </c>
      <c r="T38" s="1" t="s">
        <v>137</v>
      </c>
      <c r="U38" s="1" t="s">
        <v>132</v>
      </c>
      <c r="V38" s="1" t="s">
        <v>133</v>
      </c>
      <c r="W38" s="1" t="s">
        <v>137</v>
      </c>
      <c r="X38" s="1" t="s">
        <v>132</v>
      </c>
      <c r="Y38" s="1" t="s">
        <v>133</v>
      </c>
      <c r="Z38" s="1" t="s">
        <v>137</v>
      </c>
      <c r="AB38" s="1"/>
      <c r="AD38" s="1"/>
      <c r="AE38" s="1" t="s">
        <v>132</v>
      </c>
      <c r="AF38" s="1" t="s">
        <v>133</v>
      </c>
      <c r="AG38" s="1" t="s">
        <v>137</v>
      </c>
      <c r="AH38" s="1" t="s">
        <v>132</v>
      </c>
      <c r="AI38" s="1" t="s">
        <v>133</v>
      </c>
      <c r="AJ38" s="1" t="s">
        <v>137</v>
      </c>
    </row>
    <row r="39" spans="2:36" x14ac:dyDescent="0.45">
      <c r="Q39" s="1" t="s">
        <v>131</v>
      </c>
      <c r="R39" s="1">
        <f>$J$4</f>
        <v>0.854229450914883</v>
      </c>
      <c r="S39" s="1">
        <f>AVERAGE(N8:N11)</f>
        <v>0.84445948275160387</v>
      </c>
      <c r="T39" s="1">
        <f>S39/R39</f>
        <v>0.98856282916397287</v>
      </c>
      <c r="U39" s="1">
        <f>$X$4</f>
        <v>0.82801129151097597</v>
      </c>
      <c r="V39" s="1">
        <f>AVERAGE(AB8:AB11)</f>
        <v>0.79887297652338618</v>
      </c>
      <c r="W39" s="1">
        <f>V39/U39</f>
        <v>0.96480927822322637</v>
      </c>
      <c r="X39" s="1">
        <f>$AL$4</f>
        <v>0.80816421943629901</v>
      </c>
      <c r="Y39" s="1">
        <f>AVERAGE(AP8:AP11)</f>
        <v>0.73016410300189505</v>
      </c>
      <c r="Z39" s="1">
        <f>Y39/X39</f>
        <v>0.90348481835930616</v>
      </c>
      <c r="AE39" s="1">
        <f>$AZ$4</f>
        <v>0.80813377084037297</v>
      </c>
      <c r="AF39" s="1">
        <f>AVERAGE(BD8:BD11)</f>
        <v>0.67550897682423194</v>
      </c>
      <c r="AG39" s="1">
        <f>AF39/AE39</f>
        <v>0.83588757356566679</v>
      </c>
      <c r="AH39" s="1">
        <f>$BN$4</f>
        <v>0.77718604816528802</v>
      </c>
      <c r="AI39" s="1">
        <f>AVERAGE(BR8:BR11)</f>
        <v>0.60438812206283954</v>
      </c>
      <c r="AJ39" s="1">
        <f>AI39/AH39</f>
        <v>0.77766208424562622</v>
      </c>
    </row>
    <row r="40" spans="2:36" x14ac:dyDescent="0.45">
      <c r="B40" s="73" t="s">
        <v>118</v>
      </c>
      <c r="D40" s="14" t="s">
        <v>126</v>
      </c>
      <c r="Q40" s="1" t="s">
        <v>138</v>
      </c>
      <c r="R40" s="1">
        <f>$J$4</f>
        <v>0.854229450914883</v>
      </c>
      <c r="S40" s="1">
        <f>AVERAGE(N5:N7)</f>
        <v>0.84059909148824941</v>
      </c>
      <c r="T40" s="1">
        <f>S40/R40</f>
        <v>0.98404367888272237</v>
      </c>
      <c r="U40" s="1">
        <f>$X$4</f>
        <v>0.82801129151097597</v>
      </c>
      <c r="V40" s="1">
        <f>AVERAGE(AB5:AB7)</f>
        <v>0.79342206902162937</v>
      </c>
      <c r="W40" s="1">
        <f>V40/U40</f>
        <v>0.95822614637751224</v>
      </c>
      <c r="X40" s="1">
        <f>$AL$4</f>
        <v>0.80816421943629901</v>
      </c>
      <c r="Y40" s="1">
        <f>AVERAGE(AP5:AP7)</f>
        <v>0.71130702438280258</v>
      </c>
      <c r="Z40" s="1">
        <f>Y40/X40</f>
        <v>0.8801515920600208</v>
      </c>
      <c r="AE40" s="1">
        <f>$AZ$4</f>
        <v>0.80813377084037297</v>
      </c>
      <c r="AF40" s="1">
        <f>AVERAGE(BD5:BD7)</f>
        <v>0.67033051749415273</v>
      </c>
      <c r="AG40" s="1">
        <f>AF40/AE40</f>
        <v>0.82947965012906277</v>
      </c>
      <c r="AH40" s="1">
        <f>$BN$4</f>
        <v>0.77718604816528802</v>
      </c>
      <c r="AI40" s="1">
        <f>AVERAGE(BR5:BR7)</f>
        <v>0.60341353589550462</v>
      </c>
      <c r="AJ40" s="1">
        <f>AI40/AH40</f>
        <v>0.77640809085545193</v>
      </c>
    </row>
    <row r="41" spans="2:36" x14ac:dyDescent="0.45">
      <c r="C41" s="1" t="s">
        <v>119</v>
      </c>
      <c r="D41" s="1" t="s">
        <v>120</v>
      </c>
      <c r="E41" s="1" t="s">
        <v>124</v>
      </c>
      <c r="F41" s="1" t="s">
        <v>121</v>
      </c>
      <c r="G41" s="1" t="s">
        <v>122</v>
      </c>
      <c r="H41" s="1" t="s">
        <v>123</v>
      </c>
      <c r="I41" s="1" t="s">
        <v>125</v>
      </c>
      <c r="J41" s="1" t="s">
        <v>127</v>
      </c>
      <c r="Q41" s="1" t="s">
        <v>141</v>
      </c>
      <c r="R41" s="1">
        <f>$J$4</f>
        <v>0.854229450914883</v>
      </c>
      <c r="S41" s="1">
        <f>AVERAGE(N26:N28)</f>
        <v>0.84285426922688467</v>
      </c>
      <c r="T41" s="1">
        <f>S41/R41</f>
        <v>0.98668369291668012</v>
      </c>
      <c r="U41" s="1">
        <f>$X$4</f>
        <v>0.82801129151097597</v>
      </c>
      <c r="V41" s="1">
        <f>AVERAGE(AB26:AB28)</f>
        <v>0.79126196432838769</v>
      </c>
      <c r="W41" s="1">
        <f>V41/U41</f>
        <v>0.95561735986048313</v>
      </c>
      <c r="X41" s="1">
        <f>$AL$4</f>
        <v>0.80816421943629901</v>
      </c>
      <c r="Y41" s="1">
        <f>AVERAGE(AP26:AP28)</f>
        <v>0.70131343918654132</v>
      </c>
      <c r="Z41" s="1">
        <f>Y41/X41</f>
        <v>0.86778580679519945</v>
      </c>
      <c r="AE41" s="1">
        <f>$AZ$4</f>
        <v>0.80813377084037297</v>
      </c>
      <c r="AF41" s="1">
        <f>AVERAGE(BD26:BD28)</f>
        <v>0.67789599744765638</v>
      </c>
      <c r="AG41" s="1">
        <f>AF41/AE41</f>
        <v>0.83884131799456518</v>
      </c>
      <c r="AH41" s="1">
        <f>$BN$4</f>
        <v>0.77718604816528802</v>
      </c>
      <c r="AI41" s="1">
        <f>AVERAGE(BR26:BR28)</f>
        <v>0.60079838599950064</v>
      </c>
      <c r="AJ41" s="1">
        <f>AI41/AH41</f>
        <v>0.77304319527841792</v>
      </c>
    </row>
    <row r="42" spans="2:36" x14ac:dyDescent="0.45">
      <c r="C42" s="1">
        <v>44100</v>
      </c>
      <c r="D42" s="1">
        <v>301.32499999999999</v>
      </c>
      <c r="E42" s="1">
        <v>2</v>
      </c>
      <c r="F42" s="1">
        <v>4.976</v>
      </c>
      <c r="G42" s="1">
        <v>4.6349999999999998</v>
      </c>
      <c r="H42" s="1">
        <v>3.1899999999999998E-2</v>
      </c>
      <c r="I42" s="1">
        <v>3548.4609999999998</v>
      </c>
      <c r="J42" s="1">
        <v>3109.2930000000001</v>
      </c>
      <c r="Q42" s="93" t="s">
        <v>142</v>
      </c>
      <c r="R42" s="1">
        <f>$J$4</f>
        <v>0.854229450914883</v>
      </c>
      <c r="S42" s="1">
        <f>AVERAGE(N23:N25)</f>
        <v>0.82902350811129699</v>
      </c>
      <c r="T42" s="1">
        <f>S42/R42</f>
        <v>0.97049277243182108</v>
      </c>
      <c r="U42" s="1">
        <f>$X$4</f>
        <v>0.82801129151097597</v>
      </c>
      <c r="V42" s="1">
        <f>AVERAGE(AB23:AB25)</f>
        <v>0.77060614296486341</v>
      </c>
      <c r="W42" s="1">
        <f>V42/U42</f>
        <v>0.93067105589664345</v>
      </c>
      <c r="X42" s="1">
        <f>$AL$4</f>
        <v>0.80816421943629901</v>
      </c>
      <c r="Y42" s="1">
        <f>AVERAGE(AP23:AP25)</f>
        <v>0.71176724788023238</v>
      </c>
      <c r="Z42" s="1">
        <f>Y42/X42</f>
        <v>0.8807210598567401</v>
      </c>
      <c r="AE42" s="1">
        <f>$AZ$4</f>
        <v>0.80813377084037297</v>
      </c>
      <c r="AF42" s="1">
        <f>AVERAGE(BD23:BD25)</f>
        <v>0.65509737254164901</v>
      </c>
      <c r="AG42" s="1">
        <f>AF42/AE42</f>
        <v>0.81062986869168652</v>
      </c>
      <c r="AH42" s="1">
        <f>$BN$4</f>
        <v>0.77718604816528802</v>
      </c>
      <c r="AI42" s="1">
        <f>AVERAGE(BR23:BR25)</f>
        <v>0.57528083138307629</v>
      </c>
      <c r="AJ42" s="1">
        <f>AI42/AH42</f>
        <v>0.74020993138148616</v>
      </c>
    </row>
    <row r="43" spans="2:36" x14ac:dyDescent="0.45">
      <c r="C43" s="1">
        <v>44100</v>
      </c>
      <c r="D43" s="1">
        <v>301.32499999999999</v>
      </c>
      <c r="E43" s="1">
        <v>2</v>
      </c>
      <c r="F43" s="1">
        <v>5.0030000000000001</v>
      </c>
      <c r="G43" s="1">
        <v>4.8559999999999999</v>
      </c>
      <c r="H43" s="1">
        <v>3.27E-2</v>
      </c>
      <c r="I43" s="1">
        <v>3499.5230000000001</v>
      </c>
      <c r="J43" s="1">
        <v>3115.0039999999999</v>
      </c>
      <c r="Q43" s="1" t="s">
        <v>143</v>
      </c>
      <c r="R43" s="1">
        <f>$J$4</f>
        <v>0.854229450914883</v>
      </c>
      <c r="S43" s="1">
        <f>AVERAGE(N15:N18)</f>
        <v>0.79036977414406151</v>
      </c>
      <c r="T43" s="1">
        <f>S43/R43</f>
        <v>0.92524294649121785</v>
      </c>
      <c r="U43" s="1">
        <f>$X$4</f>
        <v>0.82801129151097597</v>
      </c>
      <c r="V43" s="1">
        <f>AVERAGE(AB15:AB18)</f>
        <v>0.68326278041566901</v>
      </c>
      <c r="W43" s="1">
        <f>V43/U43</f>
        <v>0.82518534157769008</v>
      </c>
      <c r="X43" s="1">
        <f>$AL$4</f>
        <v>0.80816421943629901</v>
      </c>
      <c r="Y43" s="1">
        <f>AVERAGE(AP15:AP18)</f>
        <v>0.57282423944146443</v>
      </c>
      <c r="Z43" s="1">
        <f>Y43/X43</f>
        <v>0.70879683319933895</v>
      </c>
      <c r="AE43" s="1">
        <f>$AZ$4</f>
        <v>0.80813377084037297</v>
      </c>
      <c r="AF43" s="1">
        <f>AVERAGE(BD15:BD18)</f>
        <v>0.65003224521428793</v>
      </c>
      <c r="AG43" s="1">
        <f>AF43/AE43</f>
        <v>0.80436218441697305</v>
      </c>
      <c r="AH43" s="1">
        <f>$BN$4</f>
        <v>0.77718604816528802</v>
      </c>
      <c r="AI43" s="1">
        <f>AVERAGE(BR15:BR18)</f>
        <v>0.57408082559471674</v>
      </c>
      <c r="AJ43" s="1">
        <f>AI43/AH43</f>
        <v>0.73866589209875277</v>
      </c>
    </row>
    <row r="44" spans="2:36" x14ac:dyDescent="0.45">
      <c r="C44" s="1">
        <v>44100</v>
      </c>
      <c r="D44" s="1">
        <v>301.32499999999999</v>
      </c>
      <c r="E44" s="1">
        <v>2</v>
      </c>
      <c r="F44" s="1">
        <v>5.0179999999999998</v>
      </c>
      <c r="G44" s="1">
        <v>4.88</v>
      </c>
      <c r="H44" s="1">
        <v>3.2800000000000003E-2</v>
      </c>
      <c r="I44" s="1">
        <v>3505.1759999999999</v>
      </c>
      <c r="J44" s="1">
        <v>3115.0390000000002</v>
      </c>
      <c r="Q44" s="1" t="s">
        <v>144</v>
      </c>
      <c r="R44" s="1">
        <f>$J$4</f>
        <v>0.854229450914883</v>
      </c>
      <c r="S44" s="1">
        <f>AVERAGE(N19:N21)</f>
        <v>0.75560587531784407</v>
      </c>
      <c r="T44" s="1">
        <f>S44/R44</f>
        <v>0.88454673917948778</v>
      </c>
      <c r="U44" s="1">
        <f>$X$4</f>
        <v>0.82801129151097597</v>
      </c>
      <c r="V44" s="1">
        <f>AVERAGE(AB19:AB21)</f>
        <v>0.65824418577235899</v>
      </c>
      <c r="W44" s="1">
        <f>V44/U44</f>
        <v>0.79497005961256684</v>
      </c>
      <c r="X44" s="1">
        <f>$AL$4</f>
        <v>0.80816421943629901</v>
      </c>
      <c r="Y44" s="1">
        <f>AVERAGE(AP19:AP21)</f>
        <v>0.55210426365353305</v>
      </c>
      <c r="Z44" s="1">
        <f>Y44/X44</f>
        <v>0.68315850958933833</v>
      </c>
      <c r="AE44" s="1">
        <f>$AZ$4</f>
        <v>0.80813377084037297</v>
      </c>
      <c r="AF44" s="1">
        <f>AVERAGE(BD19:BD21)</f>
        <v>0.56038890758132831</v>
      </c>
      <c r="AG44" s="1">
        <f>AF44/AE44</f>
        <v>0.69343582436677975</v>
      </c>
      <c r="AH44" s="1">
        <f>$BN$4</f>
        <v>0.77718604816528802</v>
      </c>
      <c r="AI44" s="1">
        <f>AVERAGE(BR19:BR21)</f>
        <v>0.4774360235468007</v>
      </c>
      <c r="AJ44" s="1">
        <f>AI44/AH44</f>
        <v>0.61431368289985311</v>
      </c>
    </row>
    <row r="45" spans="2:36" x14ac:dyDescent="0.45">
      <c r="B45" s="2" t="s">
        <v>146</v>
      </c>
      <c r="C45" s="1">
        <f>AVERAGE(C42:C44)</f>
        <v>44100</v>
      </c>
      <c r="D45" s="1">
        <f t="shared" ref="D45:J45" si="37">AVERAGE(D42:D44)</f>
        <v>301.32499999999999</v>
      </c>
      <c r="E45" s="1">
        <f t="shared" si="37"/>
        <v>2</v>
      </c>
      <c r="F45" s="1">
        <f t="shared" si="37"/>
        <v>4.9989999999999997</v>
      </c>
      <c r="G45" s="1">
        <f t="shared" si="37"/>
        <v>4.7903333333333329</v>
      </c>
      <c r="H45" s="4">
        <f t="shared" si="37"/>
        <v>3.2466666666666665E-2</v>
      </c>
      <c r="I45" s="1">
        <f t="shared" si="37"/>
        <v>3517.72</v>
      </c>
      <c r="J45" s="1">
        <f t="shared" si="37"/>
        <v>3113.1120000000005</v>
      </c>
      <c r="Q45" s="1" t="s">
        <v>145</v>
      </c>
      <c r="R45" s="1">
        <f>AVERAGE(J29:J31)</f>
        <v>0.84167037547185686</v>
      </c>
      <c r="S45" s="1">
        <f>AVERAGE(N29:N31)</f>
        <v>0.82986196958001868</v>
      </c>
      <c r="T45" s="1">
        <f>S45/R45</f>
        <v>0.98597027264358905</v>
      </c>
      <c r="U45" s="1">
        <f>AVERAGE(X29:X31)</f>
        <v>0.81410578985978732</v>
      </c>
      <c r="V45" s="1">
        <f>AVERAGE(AB29:AB31)</f>
        <v>0.78704952670881534</v>
      </c>
      <c r="W45" s="1">
        <f>V45/U45</f>
        <v>0.96676566671312847</v>
      </c>
      <c r="X45" s="1">
        <f>AVERAGE(AL29:AL31)</f>
        <v>0.79590423114474096</v>
      </c>
      <c r="Y45" s="1">
        <f>AVERAGE(AP29:AP31)</f>
        <v>0.73125729917705173</v>
      </c>
      <c r="Z45" s="1">
        <f>Y45/X45</f>
        <v>0.91877548901240513</v>
      </c>
      <c r="AE45" s="1">
        <f>AVERAGE(AZ29:AZ31)</f>
        <v>0.80203822697845906</v>
      </c>
      <c r="AF45" s="1">
        <f>AVERAGE(BD29:BD31)</f>
        <v>0.65489751649281636</v>
      </c>
      <c r="AG45" s="1">
        <f>AF45/AE45</f>
        <v>0.81654152441091243</v>
      </c>
      <c r="AH45" s="1">
        <f>AVERAGE(BN29:BN31)</f>
        <v>0.773162406536268</v>
      </c>
      <c r="AI45" s="1">
        <f>AVERAGE(BR29:BR31)</f>
        <v>0.57178110417225037</v>
      </c>
      <c r="AJ45" s="1">
        <f>AI45/AH45</f>
        <v>0.73953557407660753</v>
      </c>
    </row>
  </sheetData>
  <mergeCells count="20">
    <mergeCell ref="R36:Z36"/>
    <mergeCell ref="AE37:AG37"/>
    <mergeCell ref="AH37:AJ37"/>
    <mergeCell ref="AE36:AJ36"/>
    <mergeCell ref="U37:W37"/>
    <mergeCell ref="X37:Z37"/>
    <mergeCell ref="R37:T37"/>
    <mergeCell ref="AR1:BE1"/>
    <mergeCell ref="BF1:BS1"/>
    <mergeCell ref="AD1:AQ1"/>
    <mergeCell ref="A29:A31"/>
    <mergeCell ref="A5:A7"/>
    <mergeCell ref="A8:A11"/>
    <mergeCell ref="B1:O1"/>
    <mergeCell ref="P1:AC1"/>
    <mergeCell ref="A23:A25"/>
    <mergeCell ref="A26:A28"/>
    <mergeCell ref="A12:A14"/>
    <mergeCell ref="A15:A18"/>
    <mergeCell ref="A19:A21"/>
  </mergeCells>
  <phoneticPr fontId="1" type="noConversion"/>
  <conditionalFormatting sqref="T39:T45">
    <cfRule type="colorScale" priority="5">
      <colorScale>
        <cfvo type="min"/>
        <cfvo type="max"/>
        <color rgb="FFFCFCFF"/>
        <color rgb="FFF8696B"/>
      </colorScale>
    </cfRule>
  </conditionalFormatting>
  <conditionalFormatting sqref="W39:W45">
    <cfRule type="colorScale" priority="4">
      <colorScale>
        <cfvo type="min"/>
        <cfvo type="max"/>
        <color rgb="FFFCFCFF"/>
        <color rgb="FFF8696B"/>
      </colorScale>
    </cfRule>
  </conditionalFormatting>
  <conditionalFormatting sqref="Z39:Z45">
    <cfRule type="colorScale" priority="3">
      <colorScale>
        <cfvo type="min"/>
        <cfvo type="max"/>
        <color rgb="FFFCFCFF"/>
        <color rgb="FFF8696B"/>
      </colorScale>
    </cfRule>
  </conditionalFormatting>
  <conditionalFormatting sqref="AG39:AG45">
    <cfRule type="colorScale" priority="2">
      <colorScale>
        <cfvo type="min"/>
        <cfvo type="max"/>
        <color rgb="FFFCFCFF"/>
        <color rgb="FFF8696B"/>
      </colorScale>
    </cfRule>
  </conditionalFormatting>
  <conditionalFormatting sqref="AJ39:AJ4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AMTresult</vt:lpstr>
      <vt:lpstr>Timber Separation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beshar</dc:creator>
  <cp:lastModifiedBy>睿刚 李</cp:lastModifiedBy>
  <dcterms:created xsi:type="dcterms:W3CDTF">2015-06-05T18:19:34Z</dcterms:created>
  <dcterms:modified xsi:type="dcterms:W3CDTF">2025-11-29T09:01:45Z</dcterms:modified>
</cp:coreProperties>
</file>